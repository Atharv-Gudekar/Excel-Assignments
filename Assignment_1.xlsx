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D11FE713-85C9-41C9-90EC-E544455D6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</sheets>
  <definedNames>
    <definedName name="Ydata">'Sales Data'!$B$2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1" l="1"/>
  <c r="D47" i="1"/>
  <c r="F46" i="1"/>
  <c r="E46" i="1"/>
  <c r="D46" i="1"/>
  <c r="G44" i="1"/>
  <c r="F44" i="1"/>
  <c r="E44" i="1"/>
  <c r="D45" i="1"/>
</calcChain>
</file>

<file path=xl/sharedStrings.xml><?xml version="1.0" encoding="utf-8"?>
<sst xmlns="http://schemas.openxmlformats.org/spreadsheetml/2006/main" count="226" uniqueCount="90">
  <si>
    <t>Employee ID</t>
  </si>
  <si>
    <t>year</t>
  </si>
  <si>
    <t>Salary</t>
  </si>
  <si>
    <t>Sales</t>
  </si>
  <si>
    <t>Camission on sales</t>
  </si>
  <si>
    <t>Total Sales</t>
  </si>
  <si>
    <t>emp1</t>
  </si>
  <si>
    <t>emp2</t>
  </si>
  <si>
    <t>emp3</t>
  </si>
  <si>
    <t>emp4</t>
  </si>
  <si>
    <t>emp5</t>
  </si>
  <si>
    <t>emp6</t>
  </si>
  <si>
    <t>emp7</t>
  </si>
  <si>
    <t xml:space="preserve">hello 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</si>
  <si>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</si>
  <si>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</si>
  <si>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</si>
  <si>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</si>
  <si>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</si>
  <si>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</si>
  <si>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</si>
  <si>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</si>
  <si>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</si>
  <si>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</si>
  <si>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</si>
  <si>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</si>
  <si>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</si>
  <si>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</si>
  <si>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</si>
  <si>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</si>
  <si>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</si>
  <si>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</si>
  <si>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</si>
  <si>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</si>
  <si>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</si>
  <si>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</si>
  <si>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</si>
  <si>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</si>
  <si>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</si>
  <si>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</si>
  <si>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</si>
  <si>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</si>
  <si>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</si>
  <si>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</si>
  <si>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</si>
  <si>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Total of Camission on sales</t>
  </si>
  <si>
    <t>Q.1</t>
  </si>
  <si>
    <t>Find the Total Sales.</t>
  </si>
  <si>
    <t>Q.2</t>
  </si>
  <si>
    <t>Calculate the average sales.</t>
  </si>
  <si>
    <t>Q.3</t>
  </si>
  <si>
    <t>Calculate the least sales amount.</t>
  </si>
  <si>
    <t>Q.4</t>
  </si>
  <si>
    <t>What is the highest sales amount.</t>
  </si>
  <si>
    <t>Q.5</t>
  </si>
  <si>
    <t>Find the head count of employees using Emp Id column using "count", "counta" and "countblank".</t>
  </si>
  <si>
    <t>Find the head count of employees using sales column.</t>
  </si>
  <si>
    <t>Copy and past the value inside of cell M2  to O2 cell and rename the cell as total from "name box".</t>
  </si>
  <si>
    <t>Copy and past the value and formatting style of cell M2  to O3 cell.</t>
  </si>
  <si>
    <t>change the current working sheet name to "Sales data"</t>
  </si>
  <si>
    <t>Add more 5 sheet to workbook and place 5th sheet in between 3rd and 4th sheet.</t>
  </si>
  <si>
    <t>Give border to each cells (that is whole table).</t>
  </si>
  <si>
    <t>Make heading column to bold and also change the font size to 15.</t>
  </si>
  <si>
    <t>Change font size from "Calibri" to "Times Roman" of headers.</t>
  </si>
  <si>
    <t>Change the font color of column header to White and there background color to Light black</t>
  </si>
  <si>
    <t>Give Background color to table.</t>
  </si>
  <si>
    <t>Align the data's at center of there cell.</t>
  </si>
  <si>
    <t>Convert Sales data type to Accounting.</t>
  </si>
  <si>
    <t>Change Cell name B2 to "Ydata"</t>
  </si>
  <si>
    <t>Q.6</t>
  </si>
  <si>
    <t>Insert a salary column between Year and Sales column and find with random value (salary which you wanna give.).</t>
  </si>
  <si>
    <t>Q.7</t>
  </si>
  <si>
    <t>Fill the missing Emp id's using drag and drop (i.e relative referencing).</t>
  </si>
  <si>
    <t>Q.8</t>
  </si>
  <si>
    <t>Convert sales column to dollar Currency and kept only 2 digits after decimal.</t>
  </si>
  <si>
    <t>Q.9</t>
  </si>
  <si>
    <t xml:space="preserve"> Convert Camission on sales  column into Accounting and Kept only 1 digit after decimal.</t>
  </si>
  <si>
    <t>Us " Wrap Text" option from ribbon on cell "I35" and observe the changes.</t>
  </si>
  <si>
    <t>This sheet contain the sales details of a Xyx company.</t>
  </si>
  <si>
    <t xml:space="preserve">Q.1 </t>
  </si>
  <si>
    <t>Check all the styling applied on the below cells and remove them or change them.</t>
  </si>
  <si>
    <t>(for example if font size is 11 then chang it to 14 and as on.)</t>
  </si>
  <si>
    <t>Extra data cell.</t>
  </si>
  <si>
    <t>Average sales</t>
  </si>
  <si>
    <t>Min Sales</t>
  </si>
  <si>
    <t>Max Sales</t>
  </si>
  <si>
    <t>Head Count of Empid</t>
  </si>
  <si>
    <t>Head CountA of Empid</t>
  </si>
  <si>
    <t>Head Countblank of Empid</t>
  </si>
  <si>
    <t>Head 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</si>
</sst>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&quot;₹&quot;* #,##0.00_ ;_ &quot;₹&quot;* \-#,##0.00_ ;_ &quot;₹&quot;* &quot;-&quot;??_ ;_ @_ "/>
    <numFmt numFmtId="166" formatCode="_ &quot;₹&quot;* #,##0.0_ ;_ &quot;₹&quot;* \-#,##0.0_ ;_ &quot;₹&quot;* &quot;-&quot;??_ ;_ @_ "/>
    <numFmt numFmtId="167" formatCode="[$$-409]#,##0.00_ ;\-[$$-409]#,##0.00\ "/>
    <numFmt numFmtId="168" formatCode="_ * #,##0.0_ ;_ * \-#,##0.0_ ;_ * &quot;-&quot;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5"/>
      <color theme="0"/>
      <name val="Times  Roman"/>
    </font>
    <font>
      <sz val="10"/>
      <color theme="1"/>
      <name val="Calibri"/>
      <family val="2"/>
      <scheme val="minor"/>
    </font>
    <font>
      <b/>
      <sz val="15"/>
      <color theme="0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0" fontId="3" fillId="0" borderId="0" xfId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6" fontId="2" fillId="0" borderId="0" xfId="1" applyNumberFormat="1" applyFont="1" applyAlignment="1">
      <alignment vertical="center"/>
    </xf>
    <xf numFmtId="0" fontId="1" fillId="4" borderId="0" xfId="1" applyFont="1" applyFill="1" applyAlignment="1">
      <alignment vertical="center"/>
    </xf>
    <xf numFmtId="0" fontId="2" fillId="4" borderId="0" xfId="1" applyFont="1" applyFill="1" applyAlignment="1">
      <alignment vertical="center"/>
    </xf>
    <xf numFmtId="0" fontId="1" fillId="5" borderId="0" xfId="1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3" fillId="5" borderId="0" xfId="1" applyFill="1" applyAlignment="1">
      <alignment vertical="center"/>
    </xf>
    <xf numFmtId="164" fontId="7" fillId="2" borderId="1" xfId="3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1" xfId="3" applyNumberFormat="1" applyFont="1" applyFill="1" applyBorder="1" applyAlignment="1">
      <alignment horizontal="center" vertical="center"/>
    </xf>
    <xf numFmtId="164" fontId="0" fillId="6" borderId="0" xfId="0" applyNumberFormat="1" applyFill="1"/>
    <xf numFmtId="0" fontId="0" fillId="6" borderId="0" xfId="0" applyFill="1"/>
    <xf numFmtId="0" fontId="8" fillId="7" borderId="1" xfId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top"/>
    </xf>
    <xf numFmtId="0" fontId="8" fillId="7" borderId="1" xfId="1" applyFont="1" applyFill="1" applyBorder="1" applyAlignment="1">
      <alignment horizontal="center"/>
    </xf>
    <xf numFmtId="0" fontId="8" fillId="7" borderId="1" xfId="3" applyNumberFormat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10" fillId="7" borderId="0" xfId="0" applyFont="1" applyFill="1"/>
    <xf numFmtId="0" fontId="4" fillId="7" borderId="1" xfId="1" applyFont="1" applyFill="1" applyBorder="1" applyAlignment="1">
      <alignment horizontal="center" vertical="center"/>
    </xf>
    <xf numFmtId="167" fontId="4" fillId="7" borderId="1" xfId="3" applyNumberFormat="1" applyFont="1" applyFill="1" applyBorder="1" applyAlignment="1">
      <alignment horizontal="center" vertical="center"/>
    </xf>
    <xf numFmtId="168" fontId="4" fillId="7" borderId="1" xfId="3" applyNumberFormat="1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7" fontId="4" fillId="7" borderId="1" xfId="1" applyNumberFormat="1" applyFont="1" applyFill="1" applyBorder="1" applyAlignment="1">
      <alignment horizontal="center" vertical="center"/>
    </xf>
    <xf numFmtId="168" fontId="4" fillId="7" borderId="1" xfId="1" applyNumberFormat="1" applyFont="1" applyFill="1" applyBorder="1" applyAlignment="1">
      <alignment horizontal="center" vertical="center"/>
    </xf>
    <xf numFmtId="0" fontId="4" fillId="7" borderId="1" xfId="3" applyNumberFormat="1" applyFont="1" applyFill="1" applyBorder="1" applyAlignment="1">
      <alignment horizontal="center" vertical="center"/>
    </xf>
    <xf numFmtId="43" fontId="9" fillId="3" borderId="2" xfId="2" applyFont="1" applyFill="1" applyBorder="1" applyAlignment="1">
      <alignment horizontal="center" vertical="center"/>
    </xf>
    <xf numFmtId="43" fontId="9" fillId="3" borderId="0" xfId="2" applyFont="1" applyFill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</cellXfs>
  <cellStyles count="4">
    <cellStyle name="Comma 2" xfId="2" xr:uid="{00000000-0005-0000-0000-000000000000}"/>
    <cellStyle name="Currency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topLeftCell="M31" zoomScaleNormal="100" workbookViewId="0">
      <selection activeCell="T47" sqref="T47"/>
    </sheetView>
  </sheetViews>
  <sheetFormatPr defaultRowHeight="14.4"/>
  <cols>
    <col min="1" max="1" width="16.44140625" bestFit="1" customWidth="1"/>
    <col min="2" max="2" width="6.44140625" bestFit="1" customWidth="1"/>
    <col min="3" max="3" width="8.44140625" bestFit="1" customWidth="1"/>
    <col min="4" max="4" width="15.88671875" bestFit="1" customWidth="1"/>
    <col min="5" max="5" width="24" bestFit="1" customWidth="1"/>
    <col min="6" max="6" width="13.6640625" bestFit="1" customWidth="1"/>
    <col min="7" max="7" width="15.88671875" bestFit="1" customWidth="1"/>
    <col min="8" max="8" width="17.6640625" bestFit="1" customWidth="1"/>
    <col min="9" max="10" width="13.6640625" bestFit="1" customWidth="1"/>
    <col min="11" max="11" width="27.5546875" bestFit="1" customWidth="1"/>
    <col min="12" max="12" width="29.33203125" bestFit="1" customWidth="1"/>
    <col min="13" max="13" width="34.5546875" bestFit="1" customWidth="1"/>
    <col min="14" max="14" width="26" bestFit="1" customWidth="1"/>
    <col min="15" max="16" width="9.88671875" bestFit="1" customWidth="1"/>
    <col min="22" max="22" width="9.88671875" customWidth="1"/>
    <col min="24" max="24" width="12.6640625" bestFit="1" customWidth="1"/>
  </cols>
  <sheetData>
    <row r="1" spans="1:26" ht="19.8">
      <c r="A1" s="17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1"/>
      <c r="G1" s="22" t="s">
        <v>5</v>
      </c>
      <c r="H1" s="22" t="s">
        <v>83</v>
      </c>
      <c r="I1" s="22" t="s">
        <v>84</v>
      </c>
      <c r="J1" s="22" t="s">
        <v>85</v>
      </c>
      <c r="K1" s="22" t="s">
        <v>86</v>
      </c>
      <c r="L1" s="22" t="s">
        <v>87</v>
      </c>
      <c r="M1" s="22" t="s">
        <v>88</v>
      </c>
      <c r="N1" s="22" t="s">
        <v>89</v>
      </c>
    </row>
    <row r="2" spans="1:26" ht="15.6">
      <c r="A2" s="23" t="s">
        <v>6</v>
      </c>
      <c r="B2" s="23">
        <v>2023</v>
      </c>
      <c r="C2" s="23">
        <v>17279</v>
      </c>
      <c r="D2" s="24">
        <v>25000</v>
      </c>
      <c r="E2" s="25">
        <v>500</v>
      </c>
      <c r="F2" s="26"/>
      <c r="G2" s="24">
        <v>25000</v>
      </c>
      <c r="H2" s="24">
        <v>25000</v>
      </c>
      <c r="I2" s="24">
        <v>25000</v>
      </c>
      <c r="J2" s="24">
        <v>25000</v>
      </c>
      <c r="K2" s="23" t="s">
        <v>6</v>
      </c>
      <c r="L2" s="23" t="s">
        <v>6</v>
      </c>
      <c r="M2" s="23" t="s">
        <v>6</v>
      </c>
      <c r="N2" s="24">
        <v>25000</v>
      </c>
    </row>
    <row r="3" spans="1:26" ht="15.6">
      <c r="A3" s="23" t="s">
        <v>7</v>
      </c>
      <c r="B3" s="23">
        <v>2022</v>
      </c>
      <c r="C3" s="23">
        <v>15214</v>
      </c>
      <c r="D3" s="27">
        <v>12000</v>
      </c>
      <c r="E3" s="25">
        <v>240</v>
      </c>
      <c r="F3" s="26"/>
      <c r="G3" s="27">
        <v>12000</v>
      </c>
      <c r="H3" s="27">
        <v>12000</v>
      </c>
      <c r="I3" s="27">
        <v>12000</v>
      </c>
      <c r="J3" s="27">
        <v>12000</v>
      </c>
      <c r="K3" s="23" t="s">
        <v>7</v>
      </c>
      <c r="L3" s="23" t="s">
        <v>7</v>
      </c>
      <c r="M3" s="23" t="s">
        <v>7</v>
      </c>
      <c r="N3" s="27">
        <v>12000</v>
      </c>
    </row>
    <row r="4" spans="1:26" ht="15.6">
      <c r="A4" s="23" t="s">
        <v>8</v>
      </c>
      <c r="B4" s="23">
        <v>2021</v>
      </c>
      <c r="C4" s="23">
        <v>13937</v>
      </c>
      <c r="D4" s="27">
        <v>530000</v>
      </c>
      <c r="E4" s="25">
        <v>10600</v>
      </c>
      <c r="F4" s="26"/>
      <c r="G4" s="27">
        <v>530000</v>
      </c>
      <c r="H4" s="27">
        <v>530000</v>
      </c>
      <c r="I4" s="27">
        <v>530000</v>
      </c>
      <c r="J4" s="27">
        <v>530000</v>
      </c>
      <c r="K4" s="23" t="s">
        <v>8</v>
      </c>
      <c r="L4" s="23" t="s">
        <v>8</v>
      </c>
      <c r="M4" s="23" t="s">
        <v>8</v>
      </c>
      <c r="N4" s="27">
        <v>530000</v>
      </c>
    </row>
    <row r="5" spans="1:26" ht="15.6">
      <c r="A5" s="23" t="s">
        <v>9</v>
      </c>
      <c r="B5" s="23">
        <v>2020</v>
      </c>
      <c r="C5" s="23">
        <v>19175</v>
      </c>
      <c r="D5" s="27">
        <v>41000</v>
      </c>
      <c r="E5" s="25">
        <v>820</v>
      </c>
      <c r="F5" s="26"/>
      <c r="G5" s="27">
        <v>41000</v>
      </c>
      <c r="H5" s="27">
        <v>41000</v>
      </c>
      <c r="I5" s="27">
        <v>41000</v>
      </c>
      <c r="J5" s="27">
        <v>41000</v>
      </c>
      <c r="K5" s="23" t="s">
        <v>9</v>
      </c>
      <c r="L5" s="23" t="s">
        <v>9</v>
      </c>
      <c r="M5" s="23" t="s">
        <v>9</v>
      </c>
      <c r="N5" s="27">
        <v>41000</v>
      </c>
    </row>
    <row r="6" spans="1:26" ht="15.6">
      <c r="A6" s="23" t="s">
        <v>10</v>
      </c>
      <c r="B6" s="23">
        <v>2019</v>
      </c>
      <c r="C6" s="23">
        <v>16129</v>
      </c>
      <c r="D6" s="27">
        <v>380000</v>
      </c>
      <c r="E6" s="25">
        <v>7600</v>
      </c>
      <c r="F6" s="26"/>
      <c r="G6" s="27">
        <v>380000</v>
      </c>
      <c r="H6" s="27">
        <v>380000</v>
      </c>
      <c r="I6" s="27">
        <v>380000</v>
      </c>
      <c r="J6" s="27">
        <v>380000</v>
      </c>
      <c r="K6" s="23" t="s">
        <v>10</v>
      </c>
      <c r="L6" s="23" t="s">
        <v>10</v>
      </c>
      <c r="M6" s="23" t="s">
        <v>10</v>
      </c>
      <c r="N6" s="27">
        <v>380000</v>
      </c>
    </row>
    <row r="7" spans="1:26" ht="15.6">
      <c r="A7" s="23" t="s">
        <v>11</v>
      </c>
      <c r="B7" s="23">
        <v>2018</v>
      </c>
      <c r="C7" s="23">
        <v>16081</v>
      </c>
      <c r="D7" s="27">
        <v>32000</v>
      </c>
      <c r="E7" s="25">
        <v>640</v>
      </c>
      <c r="F7" s="26"/>
      <c r="G7" s="27">
        <v>32000</v>
      </c>
      <c r="H7" s="27">
        <v>32000</v>
      </c>
      <c r="I7" s="27">
        <v>32000</v>
      </c>
      <c r="J7" s="27">
        <v>32000</v>
      </c>
      <c r="K7" s="23" t="s">
        <v>11</v>
      </c>
      <c r="L7" s="23" t="s">
        <v>11</v>
      </c>
      <c r="M7" s="23" t="s">
        <v>11</v>
      </c>
      <c r="N7" s="27">
        <v>32000</v>
      </c>
      <c r="R7" s="2"/>
      <c r="S7" s="2"/>
      <c r="T7" s="2"/>
      <c r="U7" s="2"/>
      <c r="V7" s="2"/>
      <c r="W7" s="3" t="s">
        <v>45</v>
      </c>
      <c r="X7" s="5">
        <v>1014795.708109065</v>
      </c>
      <c r="Y7" s="2"/>
      <c r="Z7" s="2"/>
    </row>
    <row r="8" spans="1:26" ht="15.6">
      <c r="A8" s="23" t="s">
        <v>12</v>
      </c>
      <c r="B8" s="23">
        <v>2017</v>
      </c>
      <c r="C8" s="23">
        <v>19490</v>
      </c>
      <c r="D8" s="27">
        <v>250000</v>
      </c>
      <c r="E8" s="25">
        <v>5000</v>
      </c>
      <c r="F8" s="26"/>
      <c r="G8" s="27">
        <v>250000</v>
      </c>
      <c r="H8" s="27">
        <v>250000</v>
      </c>
      <c r="I8" s="27">
        <v>250000</v>
      </c>
      <c r="J8" s="27">
        <v>250000</v>
      </c>
      <c r="K8" s="23" t="s">
        <v>12</v>
      </c>
      <c r="L8" s="23" t="s">
        <v>12</v>
      </c>
      <c r="M8" s="23" t="s">
        <v>12</v>
      </c>
      <c r="N8" s="27">
        <v>250000</v>
      </c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23" t="s">
        <v>13</v>
      </c>
      <c r="B9" s="23">
        <v>2016</v>
      </c>
      <c r="C9" s="23">
        <v>14767</v>
      </c>
      <c r="D9" s="27">
        <v>358571.42857142899</v>
      </c>
      <c r="E9" s="25">
        <v>7171.4285714285797</v>
      </c>
      <c r="F9" s="26"/>
      <c r="G9" s="27">
        <v>358571.42857142899</v>
      </c>
      <c r="H9" s="27">
        <v>358571.42857142899</v>
      </c>
      <c r="I9" s="27">
        <v>358571.42857142899</v>
      </c>
      <c r="J9" s="27">
        <v>358571.42857142899</v>
      </c>
      <c r="K9" s="23" t="s">
        <v>13</v>
      </c>
      <c r="L9" s="23" t="s">
        <v>13</v>
      </c>
      <c r="M9" s="23" t="s">
        <v>13</v>
      </c>
      <c r="N9" s="27">
        <v>358571.42857142899</v>
      </c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23" t="s">
        <v>13</v>
      </c>
      <c r="B10" s="23">
        <v>2015</v>
      </c>
      <c r="C10" s="23">
        <v>15474</v>
      </c>
      <c r="D10" s="27">
        <v>36750</v>
      </c>
      <c r="E10" s="25">
        <v>735</v>
      </c>
      <c r="F10" s="26"/>
      <c r="G10" s="27">
        <v>36750</v>
      </c>
      <c r="H10" s="27">
        <v>36750</v>
      </c>
      <c r="I10" s="27">
        <v>36750</v>
      </c>
      <c r="J10" s="27">
        <v>36750</v>
      </c>
      <c r="K10" s="23" t="s">
        <v>13</v>
      </c>
      <c r="L10" s="23" t="s">
        <v>13</v>
      </c>
      <c r="M10" s="23" t="s">
        <v>13</v>
      </c>
      <c r="N10" s="27">
        <v>36750</v>
      </c>
      <c r="R10" s="32"/>
      <c r="S10" s="32"/>
      <c r="T10" s="32"/>
      <c r="U10" s="32"/>
      <c r="V10" s="32"/>
      <c r="W10" s="2"/>
      <c r="X10" s="2"/>
      <c r="Y10" s="2"/>
      <c r="Z10" s="2"/>
    </row>
    <row r="11" spans="1:26" ht="15.6">
      <c r="A11" s="23" t="s">
        <v>14</v>
      </c>
      <c r="B11" s="23">
        <v>2014</v>
      </c>
      <c r="C11" s="23">
        <v>15124</v>
      </c>
      <c r="D11" s="27">
        <v>376428.57142857101</v>
      </c>
      <c r="E11" s="25">
        <v>7528.5714285714203</v>
      </c>
      <c r="F11" s="26"/>
      <c r="G11" s="27">
        <v>376428.57142857101</v>
      </c>
      <c r="H11" s="27">
        <v>376428.57142857101</v>
      </c>
      <c r="I11" s="27">
        <v>376428.57142857101</v>
      </c>
      <c r="J11" s="27">
        <v>376428.57142857101</v>
      </c>
      <c r="K11" s="23" t="s">
        <v>14</v>
      </c>
      <c r="L11" s="23" t="s">
        <v>14</v>
      </c>
      <c r="M11" s="23" t="s">
        <v>14</v>
      </c>
      <c r="N11" s="27">
        <v>376428.57142857101</v>
      </c>
      <c r="R11" s="6" t="s">
        <v>46</v>
      </c>
      <c r="S11" s="7" t="s">
        <v>47</v>
      </c>
      <c r="T11" s="7"/>
      <c r="U11" s="7"/>
      <c r="V11" s="7"/>
      <c r="W11" s="7"/>
      <c r="X11" s="7"/>
      <c r="Y11" s="7"/>
      <c r="Z11" s="7"/>
    </row>
    <row r="12" spans="1:26" ht="15.6">
      <c r="A12" s="23" t="s">
        <v>15</v>
      </c>
      <c r="B12" s="23">
        <v>2013</v>
      </c>
      <c r="C12" s="23">
        <v>19834</v>
      </c>
      <c r="D12" s="27">
        <v>385357.14285714302</v>
      </c>
      <c r="E12" s="25">
        <v>7707.1428571428605</v>
      </c>
      <c r="F12" s="26"/>
      <c r="G12" s="27">
        <v>385357.14285714302</v>
      </c>
      <c r="H12" s="27">
        <v>385357.14285714302</v>
      </c>
      <c r="I12" s="27">
        <v>385357.14285714302</v>
      </c>
      <c r="J12" s="27">
        <v>385357.14285714302</v>
      </c>
      <c r="K12" s="23" t="s">
        <v>15</v>
      </c>
      <c r="L12" s="23" t="s">
        <v>15</v>
      </c>
      <c r="M12" s="23" t="s">
        <v>15</v>
      </c>
      <c r="N12" s="27">
        <v>385357.14285714302</v>
      </c>
      <c r="R12" s="6" t="s">
        <v>48</v>
      </c>
      <c r="S12" s="7" t="s">
        <v>49</v>
      </c>
      <c r="T12" s="7"/>
      <c r="U12" s="7"/>
      <c r="V12" s="7"/>
      <c r="W12" s="7"/>
      <c r="X12" s="7"/>
      <c r="Y12" s="7"/>
      <c r="Z12" s="7"/>
    </row>
    <row r="13" spans="1:26" ht="15.6">
      <c r="A13" s="23" t="s">
        <v>16</v>
      </c>
      <c r="B13" s="23">
        <v>2012</v>
      </c>
      <c r="C13" s="23">
        <v>12822</v>
      </c>
      <c r="D13" s="27">
        <v>39425.714257140004</v>
      </c>
      <c r="E13" s="25">
        <v>788.51428514280008</v>
      </c>
      <c r="F13" s="26"/>
      <c r="G13" s="27">
        <v>39425.714257140004</v>
      </c>
      <c r="H13" s="27">
        <v>39425.714257140004</v>
      </c>
      <c r="I13" s="27">
        <v>39425.714257140004</v>
      </c>
      <c r="J13" s="27">
        <v>39425.714257140004</v>
      </c>
      <c r="K13" s="23" t="s">
        <v>16</v>
      </c>
      <c r="L13" s="23" t="s">
        <v>16</v>
      </c>
      <c r="M13" s="23" t="s">
        <v>16</v>
      </c>
      <c r="N13" s="27">
        <v>39425.714257140004</v>
      </c>
      <c r="R13" s="6" t="s">
        <v>50</v>
      </c>
      <c r="S13" s="7" t="s">
        <v>51</v>
      </c>
      <c r="T13" s="7"/>
      <c r="U13" s="7"/>
      <c r="V13" s="7"/>
      <c r="W13" s="7"/>
      <c r="X13" s="7"/>
      <c r="Y13" s="7"/>
      <c r="Z13" s="7"/>
    </row>
    <row r="14" spans="1:26" ht="15.6">
      <c r="A14" s="23" t="s">
        <v>17</v>
      </c>
      <c r="B14" s="23">
        <v>2011</v>
      </c>
      <c r="C14" s="23">
        <v>16840</v>
      </c>
      <c r="D14" s="27">
        <v>403214.28571428597</v>
      </c>
      <c r="E14" s="25">
        <v>8064.2857142857192</v>
      </c>
      <c r="F14" s="26"/>
      <c r="G14" s="27">
        <v>403214.28571428597</v>
      </c>
      <c r="H14" s="27">
        <v>403214.28571428597</v>
      </c>
      <c r="I14" s="27">
        <v>403214.28571428597</v>
      </c>
      <c r="J14" s="27">
        <v>403214.28571428597</v>
      </c>
      <c r="K14" s="23" t="s">
        <v>17</v>
      </c>
      <c r="L14" s="23" t="s">
        <v>17</v>
      </c>
      <c r="M14" s="23" t="s">
        <v>17</v>
      </c>
      <c r="N14" s="27">
        <v>403214.28571428597</v>
      </c>
      <c r="R14" s="6" t="s">
        <v>52</v>
      </c>
      <c r="S14" s="7" t="s">
        <v>53</v>
      </c>
      <c r="T14" s="7"/>
      <c r="U14" s="7"/>
      <c r="V14" s="7"/>
      <c r="W14" s="7"/>
      <c r="X14" s="7"/>
      <c r="Y14" s="7"/>
      <c r="Z14" s="7"/>
    </row>
    <row r="15" spans="1:26" ht="15.6">
      <c r="A15" s="23" t="s">
        <v>18</v>
      </c>
      <c r="B15" s="23">
        <v>2010</v>
      </c>
      <c r="C15" s="23">
        <v>12239</v>
      </c>
      <c r="D15" s="27"/>
      <c r="E15" s="28">
        <v>41212.857142858003</v>
      </c>
      <c r="F15" s="29">
        <v>824.25714285716003</v>
      </c>
      <c r="G15" s="27"/>
      <c r="H15" s="27"/>
      <c r="I15" s="27"/>
      <c r="J15" s="27"/>
      <c r="K15" s="23" t="s">
        <v>18</v>
      </c>
      <c r="L15" s="23" t="s">
        <v>18</v>
      </c>
      <c r="M15" s="23" t="s">
        <v>18</v>
      </c>
      <c r="N15" s="27"/>
      <c r="R15" s="6" t="s">
        <v>54</v>
      </c>
      <c r="S15" s="7" t="s">
        <v>55</v>
      </c>
      <c r="T15" s="7"/>
      <c r="U15" s="7"/>
      <c r="V15" s="7"/>
      <c r="W15" s="7"/>
      <c r="X15" s="7"/>
      <c r="Y15" s="7"/>
      <c r="Z15" s="7"/>
    </row>
    <row r="16" spans="1:26" ht="15.6">
      <c r="A16" s="23" t="s">
        <v>19</v>
      </c>
      <c r="B16" s="23">
        <v>2009</v>
      </c>
      <c r="C16" s="23">
        <v>17474</v>
      </c>
      <c r="D16" s="27"/>
      <c r="E16" s="28">
        <v>251020.54944427</v>
      </c>
      <c r="F16" s="29">
        <v>5020.4109888854</v>
      </c>
      <c r="G16" s="27"/>
      <c r="H16" s="27"/>
      <c r="I16" s="27"/>
      <c r="J16" s="27"/>
      <c r="K16" s="23" t="s">
        <v>19</v>
      </c>
      <c r="L16" s="23" t="s">
        <v>19</v>
      </c>
      <c r="M16" s="23" t="s">
        <v>19</v>
      </c>
      <c r="N16" s="27"/>
      <c r="R16" s="4"/>
      <c r="S16" s="3"/>
      <c r="T16" s="3"/>
      <c r="U16" s="3"/>
      <c r="V16" s="3"/>
      <c r="W16" s="3"/>
      <c r="X16" s="3"/>
      <c r="Y16" s="3"/>
      <c r="Z16" s="3"/>
    </row>
    <row r="17" spans="1:26" ht="15.6">
      <c r="A17" s="23" t="s">
        <v>20</v>
      </c>
      <c r="B17" s="23">
        <v>2008</v>
      </c>
      <c r="C17" s="23">
        <v>11861</v>
      </c>
      <c r="D17" s="27"/>
      <c r="E17" s="28">
        <v>256766.527465683</v>
      </c>
      <c r="F17" s="29">
        <v>5135.3305493136604</v>
      </c>
      <c r="G17" s="27"/>
      <c r="H17" s="27"/>
      <c r="I17" s="27"/>
      <c r="J17" s="27"/>
      <c r="K17" s="23" t="s">
        <v>20</v>
      </c>
      <c r="L17" s="23" t="s">
        <v>20</v>
      </c>
      <c r="M17" s="23" t="s">
        <v>20</v>
      </c>
      <c r="N17" s="27"/>
      <c r="R17" s="8" t="s">
        <v>46</v>
      </c>
      <c r="S17" s="9" t="s">
        <v>56</v>
      </c>
      <c r="T17" s="9"/>
      <c r="U17" s="9"/>
      <c r="V17" s="9"/>
      <c r="W17" s="9"/>
      <c r="X17" s="9"/>
      <c r="Y17" s="9"/>
      <c r="Z17" s="9"/>
    </row>
    <row r="18" spans="1:26" ht="15.6">
      <c r="A18" s="23" t="s">
        <v>21</v>
      </c>
      <c r="B18" s="23">
        <v>2007</v>
      </c>
      <c r="C18" s="23">
        <v>12032</v>
      </c>
      <c r="D18" s="27"/>
      <c r="E18" s="28">
        <v>262512.50548709498</v>
      </c>
      <c r="F18" s="29">
        <v>5250.2501097418999</v>
      </c>
      <c r="G18" s="27"/>
      <c r="H18" s="27"/>
      <c r="I18" s="27"/>
      <c r="J18" s="27"/>
      <c r="K18" s="23" t="s">
        <v>21</v>
      </c>
      <c r="L18" s="23" t="s">
        <v>21</v>
      </c>
      <c r="M18" s="23" t="s">
        <v>21</v>
      </c>
      <c r="N18" s="27"/>
      <c r="R18" s="8" t="s">
        <v>48</v>
      </c>
      <c r="S18" s="9" t="s">
        <v>57</v>
      </c>
      <c r="T18" s="9"/>
      <c r="U18" s="9"/>
      <c r="V18" s="9"/>
      <c r="W18" s="9"/>
      <c r="X18" s="9"/>
      <c r="Y18" s="9"/>
      <c r="Z18" s="9"/>
    </row>
    <row r="19" spans="1:26" ht="15.6">
      <c r="A19" s="23" t="s">
        <v>22</v>
      </c>
      <c r="B19" s="23">
        <v>2006</v>
      </c>
      <c r="C19" s="23">
        <v>11343</v>
      </c>
      <c r="D19" s="27">
        <v>268258.48350850801</v>
      </c>
      <c r="E19" s="25">
        <v>5365.1696701701603</v>
      </c>
      <c r="F19" s="26"/>
      <c r="G19" s="27">
        <v>268258.48350850801</v>
      </c>
      <c r="H19" s="27">
        <v>268258.48350850801</v>
      </c>
      <c r="I19" s="27">
        <v>268258.48350850801</v>
      </c>
      <c r="J19" s="27">
        <v>268258.48350850801</v>
      </c>
      <c r="K19" s="23" t="s">
        <v>22</v>
      </c>
      <c r="L19" s="23" t="s">
        <v>22</v>
      </c>
      <c r="M19" s="23" t="s">
        <v>22</v>
      </c>
      <c r="N19" s="27">
        <v>268258.48350850801</v>
      </c>
      <c r="R19" s="8" t="s">
        <v>50</v>
      </c>
      <c r="S19" s="9" t="s">
        <v>58</v>
      </c>
      <c r="T19" s="9"/>
      <c r="U19" s="9"/>
      <c r="V19" s="9"/>
      <c r="W19" s="9"/>
      <c r="X19" s="9"/>
      <c r="Y19" s="9"/>
      <c r="Z19" s="9"/>
    </row>
    <row r="20" spans="1:26" ht="15.6">
      <c r="A20" s="23" t="s">
        <v>23</v>
      </c>
      <c r="B20" s="23">
        <v>2005</v>
      </c>
      <c r="C20" s="23">
        <v>13544</v>
      </c>
      <c r="D20" s="27">
        <v>274004.46152992098</v>
      </c>
      <c r="E20" s="25">
        <v>5480.0892305984198</v>
      </c>
      <c r="F20" s="26"/>
      <c r="G20" s="27">
        <v>274004.46152992098</v>
      </c>
      <c r="H20" s="27">
        <v>274004.46152992098</v>
      </c>
      <c r="I20" s="27">
        <v>274004.46152992098</v>
      </c>
      <c r="J20" s="27">
        <v>274004.46152992098</v>
      </c>
      <c r="K20" s="23" t="s">
        <v>23</v>
      </c>
      <c r="L20" s="23" t="s">
        <v>23</v>
      </c>
      <c r="M20" s="23" t="s">
        <v>23</v>
      </c>
      <c r="N20" s="27">
        <v>274004.46152992098</v>
      </c>
      <c r="R20" s="2"/>
      <c r="S20" s="4"/>
      <c r="T20" s="3"/>
      <c r="U20" s="3"/>
      <c r="V20" s="3"/>
      <c r="W20" s="3"/>
      <c r="X20" s="3"/>
      <c r="Y20" s="3"/>
      <c r="Z20" s="3"/>
    </row>
    <row r="21" spans="1:26" ht="15.6">
      <c r="A21" s="23" t="s">
        <v>24</v>
      </c>
      <c r="B21" s="23">
        <v>2004</v>
      </c>
      <c r="C21" s="23">
        <v>18801</v>
      </c>
      <c r="D21" s="27">
        <v>279750.43955133401</v>
      </c>
      <c r="E21" s="25">
        <v>5595.0087910266802</v>
      </c>
      <c r="F21" s="26"/>
      <c r="G21" s="27">
        <v>279750.43955133401</v>
      </c>
      <c r="H21" s="27">
        <v>279750.43955133401</v>
      </c>
      <c r="I21" s="27">
        <v>279750.43955133401</v>
      </c>
      <c r="J21" s="27">
        <v>279750.43955133401</v>
      </c>
      <c r="K21" s="23" t="s">
        <v>24</v>
      </c>
      <c r="L21" s="23" t="s">
        <v>24</v>
      </c>
      <c r="M21" s="23" t="s">
        <v>24</v>
      </c>
      <c r="N21" s="27">
        <v>279750.43955133401</v>
      </c>
      <c r="R21" s="2"/>
      <c r="S21" s="4"/>
      <c r="T21" s="3"/>
      <c r="U21" s="3"/>
      <c r="V21" s="3"/>
      <c r="W21" s="3"/>
      <c r="X21" s="3"/>
      <c r="Y21" s="3"/>
      <c r="Z21" s="3"/>
    </row>
    <row r="22" spans="1:26" ht="15.6">
      <c r="A22" s="23" t="s">
        <v>25</v>
      </c>
      <c r="B22" s="23">
        <v>2003</v>
      </c>
      <c r="C22" s="23">
        <v>11436</v>
      </c>
      <c r="D22" s="27">
        <v>285496.41757274698</v>
      </c>
      <c r="E22" s="25">
        <v>5709.9283514549397</v>
      </c>
      <c r="F22" s="26"/>
      <c r="G22" s="27">
        <v>285496.41757274698</v>
      </c>
      <c r="H22" s="27">
        <v>285496.41757274698</v>
      </c>
      <c r="I22" s="27">
        <v>285496.41757274698</v>
      </c>
      <c r="J22" s="27">
        <v>285496.41757274698</v>
      </c>
      <c r="K22" s="23" t="s">
        <v>25</v>
      </c>
      <c r="L22" s="23" t="s">
        <v>25</v>
      </c>
      <c r="M22" s="23" t="s">
        <v>25</v>
      </c>
      <c r="N22" s="27">
        <v>285496.41757274698</v>
      </c>
      <c r="R22" s="8" t="s">
        <v>46</v>
      </c>
      <c r="S22" s="9" t="s">
        <v>59</v>
      </c>
      <c r="T22" s="9"/>
      <c r="U22" s="9"/>
      <c r="V22" s="9"/>
      <c r="W22" s="9"/>
      <c r="X22" s="9"/>
      <c r="Y22" s="9"/>
      <c r="Z22" s="9"/>
    </row>
    <row r="23" spans="1:26" ht="15.6">
      <c r="A23" s="23" t="s">
        <v>26</v>
      </c>
      <c r="B23" s="23">
        <v>2020</v>
      </c>
      <c r="C23" s="23">
        <v>11684</v>
      </c>
      <c r="D23" s="27">
        <v>291242.39559416001</v>
      </c>
      <c r="E23" s="25">
        <v>5824.8479118832001</v>
      </c>
      <c r="F23" s="26"/>
      <c r="G23" s="27">
        <v>291242.39559416001</v>
      </c>
      <c r="H23" s="27">
        <v>291242.39559416001</v>
      </c>
      <c r="I23" s="27">
        <v>291242.39559416001</v>
      </c>
      <c r="J23" s="27">
        <v>291242.39559416001</v>
      </c>
      <c r="K23" s="23" t="s">
        <v>26</v>
      </c>
      <c r="L23" s="23" t="s">
        <v>26</v>
      </c>
      <c r="M23" s="23" t="s">
        <v>26</v>
      </c>
      <c r="N23" s="27">
        <v>291242.39559416001</v>
      </c>
      <c r="R23" s="8" t="s">
        <v>48</v>
      </c>
      <c r="S23" s="9" t="s">
        <v>60</v>
      </c>
      <c r="T23" s="9"/>
      <c r="U23" s="9"/>
      <c r="V23" s="9"/>
      <c r="W23" s="9"/>
      <c r="X23" s="9"/>
      <c r="Y23" s="9"/>
      <c r="Z23" s="9"/>
    </row>
    <row r="24" spans="1:26" ht="15.6">
      <c r="A24" s="23" t="s">
        <v>27</v>
      </c>
      <c r="B24" s="23">
        <v>2019</v>
      </c>
      <c r="C24" s="23">
        <v>19859</v>
      </c>
      <c r="D24" s="27">
        <v>296988.37361557299</v>
      </c>
      <c r="E24" s="25">
        <v>5939.7674723114596</v>
      </c>
      <c r="F24" s="26"/>
      <c r="G24" s="27">
        <v>296988.37361557299</v>
      </c>
      <c r="H24" s="27">
        <v>296988.37361557299</v>
      </c>
      <c r="I24" s="27">
        <v>296988.37361557299</v>
      </c>
      <c r="J24" s="27">
        <v>296988.37361557299</v>
      </c>
      <c r="K24" s="23" t="s">
        <v>27</v>
      </c>
      <c r="L24" s="23" t="s">
        <v>27</v>
      </c>
      <c r="M24" s="23" t="s">
        <v>27</v>
      </c>
      <c r="N24" s="27">
        <v>296988.37361557299</v>
      </c>
      <c r="R24" s="8" t="s">
        <v>50</v>
      </c>
      <c r="S24" s="9" t="s">
        <v>61</v>
      </c>
      <c r="T24" s="9"/>
      <c r="U24" s="9"/>
      <c r="V24" s="9"/>
      <c r="W24" s="9"/>
      <c r="X24" s="9"/>
      <c r="Y24" s="9"/>
      <c r="Z24" s="9"/>
    </row>
    <row r="25" spans="1:26" ht="15.6">
      <c r="A25" s="23" t="s">
        <v>28</v>
      </c>
      <c r="B25" s="23">
        <v>2018</v>
      </c>
      <c r="C25" s="23">
        <v>16586</v>
      </c>
      <c r="D25" s="27">
        <v>25000</v>
      </c>
      <c r="E25" s="25">
        <v>500</v>
      </c>
      <c r="F25" s="26"/>
      <c r="G25" s="27">
        <v>25000</v>
      </c>
      <c r="H25" s="27">
        <v>25000</v>
      </c>
      <c r="I25" s="27">
        <v>25000</v>
      </c>
      <c r="J25" s="27">
        <v>25000</v>
      </c>
      <c r="K25" s="23" t="s">
        <v>28</v>
      </c>
      <c r="L25" s="23" t="s">
        <v>28</v>
      </c>
      <c r="M25" s="23" t="s">
        <v>28</v>
      </c>
      <c r="N25" s="27">
        <v>25000</v>
      </c>
      <c r="R25" s="8" t="s">
        <v>52</v>
      </c>
      <c r="S25" s="9" t="s">
        <v>62</v>
      </c>
      <c r="T25" s="9"/>
      <c r="U25" s="9"/>
      <c r="V25" s="9"/>
      <c r="W25" s="9"/>
      <c r="X25" s="9"/>
      <c r="Y25" s="9"/>
      <c r="Z25" s="9"/>
    </row>
    <row r="26" spans="1:26" ht="15.6">
      <c r="A26" s="23" t="s">
        <v>29</v>
      </c>
      <c r="B26" s="23">
        <v>2017</v>
      </c>
      <c r="C26" s="23">
        <v>16080</v>
      </c>
      <c r="D26" s="27">
        <v>12000</v>
      </c>
      <c r="E26" s="25">
        <v>240</v>
      </c>
      <c r="F26" s="26"/>
      <c r="G26" s="27">
        <v>12000</v>
      </c>
      <c r="H26" s="27">
        <v>12000</v>
      </c>
      <c r="I26" s="27">
        <v>12000</v>
      </c>
      <c r="J26" s="27">
        <v>12000</v>
      </c>
      <c r="K26" s="23" t="s">
        <v>29</v>
      </c>
      <c r="L26" s="23" t="s">
        <v>29</v>
      </c>
      <c r="M26" s="23" t="s">
        <v>29</v>
      </c>
      <c r="N26" s="27">
        <v>12000</v>
      </c>
      <c r="R26" s="8" t="s">
        <v>54</v>
      </c>
      <c r="S26" s="9" t="s">
        <v>63</v>
      </c>
      <c r="T26" s="9"/>
      <c r="U26" s="9"/>
      <c r="V26" s="9"/>
      <c r="W26" s="9"/>
      <c r="X26" s="9"/>
      <c r="Y26" s="9"/>
      <c r="Z26" s="9"/>
    </row>
    <row r="27" spans="1:26" ht="15.6">
      <c r="A27" s="23" t="s">
        <v>30</v>
      </c>
      <c r="B27" s="23">
        <v>2016</v>
      </c>
      <c r="C27" s="23">
        <v>13975</v>
      </c>
      <c r="D27" s="27">
        <v>530000</v>
      </c>
      <c r="E27" s="25">
        <v>10600</v>
      </c>
      <c r="F27" s="26"/>
      <c r="G27" s="27">
        <v>530000</v>
      </c>
      <c r="H27" s="27">
        <v>530000</v>
      </c>
      <c r="I27" s="27">
        <v>530000</v>
      </c>
      <c r="J27" s="27">
        <v>530000</v>
      </c>
      <c r="K27" s="23" t="s">
        <v>30</v>
      </c>
      <c r="L27" s="23" t="s">
        <v>30</v>
      </c>
      <c r="M27" s="23" t="s">
        <v>30</v>
      </c>
      <c r="N27" s="27">
        <v>530000</v>
      </c>
      <c r="R27" s="4"/>
      <c r="S27" s="3"/>
      <c r="T27" s="3"/>
      <c r="U27" s="3"/>
      <c r="V27" s="3"/>
      <c r="W27" s="3"/>
      <c r="X27" s="3"/>
      <c r="Y27" s="3"/>
      <c r="Z27" s="3"/>
    </row>
    <row r="28" spans="1:26" ht="15.6">
      <c r="A28" s="23" t="s">
        <v>31</v>
      </c>
      <c r="B28" s="23">
        <v>2015</v>
      </c>
      <c r="C28" s="23">
        <v>11617</v>
      </c>
      <c r="D28" s="27">
        <v>41000</v>
      </c>
      <c r="E28" s="25">
        <v>820</v>
      </c>
      <c r="F28" s="26"/>
      <c r="G28" s="27">
        <v>41000</v>
      </c>
      <c r="H28" s="27">
        <v>41000</v>
      </c>
      <c r="I28" s="27">
        <v>41000</v>
      </c>
      <c r="J28" s="27">
        <v>41000</v>
      </c>
      <c r="K28" s="23" t="s">
        <v>31</v>
      </c>
      <c r="L28" s="23" t="s">
        <v>31</v>
      </c>
      <c r="M28" s="23" t="s">
        <v>31</v>
      </c>
      <c r="N28" s="27">
        <v>41000</v>
      </c>
      <c r="R28" s="4"/>
      <c r="S28" s="2"/>
      <c r="T28" s="3"/>
      <c r="U28" s="3"/>
      <c r="V28" s="3"/>
      <c r="W28" s="3"/>
      <c r="X28" s="3"/>
      <c r="Y28" s="3"/>
      <c r="Z28" s="3"/>
    </row>
    <row r="29" spans="1:26" ht="15.6">
      <c r="A29" s="23" t="s">
        <v>32</v>
      </c>
      <c r="B29" s="23">
        <v>2014</v>
      </c>
      <c r="C29" s="23">
        <v>11315</v>
      </c>
      <c r="D29" s="27">
        <v>380000</v>
      </c>
      <c r="E29" s="25">
        <v>7600</v>
      </c>
      <c r="F29" s="26"/>
      <c r="G29" s="27">
        <v>380000</v>
      </c>
      <c r="H29" s="27">
        <v>380000</v>
      </c>
      <c r="I29" s="27">
        <v>380000</v>
      </c>
      <c r="J29" s="27">
        <v>380000</v>
      </c>
      <c r="K29" s="23" t="s">
        <v>32</v>
      </c>
      <c r="L29" s="23" t="s">
        <v>32</v>
      </c>
      <c r="M29" s="23" t="s">
        <v>32</v>
      </c>
      <c r="N29" s="27">
        <v>380000</v>
      </c>
      <c r="R29" s="8" t="s">
        <v>46</v>
      </c>
      <c r="S29" s="9" t="s">
        <v>64</v>
      </c>
      <c r="T29" s="9"/>
      <c r="U29" s="9"/>
      <c r="V29" s="9"/>
      <c r="W29" s="9"/>
      <c r="X29" s="9"/>
      <c r="Y29" s="9"/>
      <c r="Z29" s="9"/>
    </row>
    <row r="30" spans="1:26" ht="15.6">
      <c r="A30" s="23" t="s">
        <v>33</v>
      </c>
      <c r="B30" s="23">
        <v>2013</v>
      </c>
      <c r="C30" s="23">
        <v>12370</v>
      </c>
      <c r="D30" s="27">
        <v>32000</v>
      </c>
      <c r="E30" s="25">
        <v>640</v>
      </c>
      <c r="F30" s="26"/>
      <c r="G30" s="27">
        <v>32000</v>
      </c>
      <c r="H30" s="27">
        <v>32000</v>
      </c>
      <c r="I30" s="27">
        <v>32000</v>
      </c>
      <c r="J30" s="27">
        <v>32000</v>
      </c>
      <c r="K30" s="23" t="s">
        <v>33</v>
      </c>
      <c r="L30" s="23" t="s">
        <v>33</v>
      </c>
      <c r="M30" s="23" t="s">
        <v>33</v>
      </c>
      <c r="N30" s="27">
        <v>32000</v>
      </c>
      <c r="R30" s="8" t="s">
        <v>48</v>
      </c>
      <c r="S30" s="9" t="s">
        <v>65</v>
      </c>
      <c r="T30" s="9"/>
      <c r="U30" s="9"/>
      <c r="V30" s="9"/>
      <c r="W30" s="9"/>
      <c r="X30" s="9"/>
      <c r="Y30" s="9"/>
      <c r="Z30" s="9"/>
    </row>
    <row r="31" spans="1:26" ht="15.6">
      <c r="A31" s="23" t="s">
        <v>34</v>
      </c>
      <c r="B31" s="23">
        <v>2012</v>
      </c>
      <c r="C31" s="23">
        <v>19033</v>
      </c>
      <c r="D31" s="27">
        <v>250000</v>
      </c>
      <c r="E31" s="25">
        <v>5000</v>
      </c>
      <c r="F31" s="26"/>
      <c r="G31" s="27">
        <v>250000</v>
      </c>
      <c r="H31" s="27">
        <v>250000</v>
      </c>
      <c r="I31" s="27">
        <v>250000</v>
      </c>
      <c r="J31" s="27">
        <v>250000</v>
      </c>
      <c r="K31" s="23" t="s">
        <v>34</v>
      </c>
      <c r="L31" s="23" t="s">
        <v>34</v>
      </c>
      <c r="M31" s="23" t="s">
        <v>34</v>
      </c>
      <c r="N31" s="27">
        <v>250000</v>
      </c>
      <c r="R31" s="8" t="s">
        <v>50</v>
      </c>
      <c r="S31" s="9" t="s">
        <v>66</v>
      </c>
      <c r="T31" s="9"/>
      <c r="U31" s="9"/>
      <c r="V31" s="9"/>
      <c r="W31" s="9"/>
      <c r="X31" s="10"/>
      <c r="Y31" s="10"/>
      <c r="Z31" s="10"/>
    </row>
    <row r="32" spans="1:26" ht="15.6">
      <c r="A32" s="23" t="s">
        <v>35</v>
      </c>
      <c r="B32" s="23">
        <v>2011</v>
      </c>
      <c r="C32" s="23">
        <v>17717</v>
      </c>
      <c r="D32" s="27">
        <v>358571.42857142899</v>
      </c>
      <c r="E32" s="25">
        <v>7171.4285714285797</v>
      </c>
      <c r="F32" s="26"/>
      <c r="G32" s="27">
        <v>358571.42857142899</v>
      </c>
      <c r="H32" s="27">
        <v>358571.42857142899</v>
      </c>
      <c r="I32" s="27">
        <v>358571.42857142899</v>
      </c>
      <c r="J32" s="27">
        <v>358571.42857142899</v>
      </c>
      <c r="K32" s="23" t="s">
        <v>35</v>
      </c>
      <c r="L32" s="23" t="s">
        <v>35</v>
      </c>
      <c r="M32" s="23" t="s">
        <v>35</v>
      </c>
      <c r="N32" s="27">
        <v>358571.42857142899</v>
      </c>
      <c r="R32" s="8" t="s">
        <v>52</v>
      </c>
      <c r="S32" s="9" t="s">
        <v>67</v>
      </c>
      <c r="T32" s="9"/>
      <c r="U32" s="9"/>
      <c r="V32" s="9"/>
      <c r="W32" s="9"/>
      <c r="X32" s="10"/>
      <c r="Y32" s="10"/>
      <c r="Z32" s="10"/>
    </row>
    <row r="33" spans="1:26" ht="15.6">
      <c r="A33" s="23" t="s">
        <v>36</v>
      </c>
      <c r="B33" s="23">
        <v>2014</v>
      </c>
      <c r="C33" s="23">
        <v>11424</v>
      </c>
      <c r="D33" s="27">
        <v>36750</v>
      </c>
      <c r="E33" s="25">
        <v>735</v>
      </c>
      <c r="F33" s="26"/>
      <c r="G33" s="27">
        <v>36750</v>
      </c>
      <c r="H33" s="27">
        <v>36750</v>
      </c>
      <c r="I33" s="27">
        <v>36750</v>
      </c>
      <c r="J33" s="27">
        <v>36750</v>
      </c>
      <c r="K33" s="23" t="s">
        <v>36</v>
      </c>
      <c r="L33" s="23" t="s">
        <v>36</v>
      </c>
      <c r="M33" s="23" t="s">
        <v>36</v>
      </c>
      <c r="N33" s="27">
        <v>36750</v>
      </c>
      <c r="R33" s="8" t="s">
        <v>54</v>
      </c>
      <c r="S33" s="9" t="s">
        <v>68</v>
      </c>
      <c r="T33" s="9"/>
      <c r="U33" s="9"/>
      <c r="V33" s="9"/>
      <c r="W33" s="9"/>
      <c r="X33" s="10"/>
      <c r="Y33" s="10"/>
      <c r="Z33" s="10"/>
    </row>
    <row r="34" spans="1:26" ht="15.6">
      <c r="A34" s="23" t="s">
        <v>37</v>
      </c>
      <c r="B34" s="23">
        <v>2013</v>
      </c>
      <c r="C34" s="23">
        <v>12231</v>
      </c>
      <c r="D34" s="27">
        <v>376428.57142857101</v>
      </c>
      <c r="E34" s="25">
        <v>7528.5714285714203</v>
      </c>
      <c r="F34" s="26"/>
      <c r="G34" s="27">
        <v>376428.57142857101</v>
      </c>
      <c r="H34" s="27">
        <v>376428.57142857101</v>
      </c>
      <c r="I34" s="27">
        <v>376428.57142857101</v>
      </c>
      <c r="J34" s="27">
        <v>376428.57142857101</v>
      </c>
      <c r="K34" s="23" t="s">
        <v>37</v>
      </c>
      <c r="L34" s="23" t="s">
        <v>37</v>
      </c>
      <c r="M34" s="23" t="s">
        <v>37</v>
      </c>
      <c r="N34" s="27">
        <v>376428.57142857101</v>
      </c>
      <c r="R34" s="8" t="s">
        <v>69</v>
      </c>
      <c r="S34" s="9" t="s">
        <v>70</v>
      </c>
      <c r="T34" s="9"/>
      <c r="U34" s="9"/>
      <c r="V34" s="9"/>
      <c r="W34" s="10"/>
      <c r="X34" s="10"/>
      <c r="Y34" s="10"/>
      <c r="Z34" s="10"/>
    </row>
    <row r="35" spans="1:26" ht="15.6">
      <c r="A35" s="23" t="s">
        <v>38</v>
      </c>
      <c r="B35" s="23">
        <v>2012</v>
      </c>
      <c r="C35" s="23">
        <v>17855</v>
      </c>
      <c r="D35" s="27">
        <v>385357.14285714302</v>
      </c>
      <c r="E35" s="25">
        <v>7707.1428571428605</v>
      </c>
      <c r="F35" s="26"/>
      <c r="G35" s="27">
        <v>385357.14285714302</v>
      </c>
      <c r="H35" s="27">
        <v>385357.14285714302</v>
      </c>
      <c r="I35" s="27">
        <v>385357.14285714302</v>
      </c>
      <c r="J35" s="27">
        <v>385357.14285714302</v>
      </c>
      <c r="K35" s="23" t="s">
        <v>38</v>
      </c>
      <c r="L35" s="23" t="s">
        <v>38</v>
      </c>
      <c r="M35" s="33" t="s">
        <v>38</v>
      </c>
      <c r="N35" s="27">
        <v>385357.14285714302</v>
      </c>
      <c r="R35" s="8" t="s">
        <v>71</v>
      </c>
      <c r="S35" s="9" t="s">
        <v>72</v>
      </c>
      <c r="T35" s="9"/>
      <c r="U35" s="9"/>
      <c r="V35" s="9"/>
      <c r="W35" s="10"/>
      <c r="X35" s="10"/>
      <c r="Y35" s="10"/>
      <c r="Z35" s="10"/>
    </row>
    <row r="36" spans="1:26" ht="15.6">
      <c r="A36" s="23" t="s">
        <v>39</v>
      </c>
      <c r="B36" s="23">
        <v>2011</v>
      </c>
      <c r="C36" s="23">
        <v>10317</v>
      </c>
      <c r="D36" s="27">
        <v>39425.714257140004</v>
      </c>
      <c r="E36" s="25">
        <v>788.51428514280008</v>
      </c>
      <c r="F36" s="26"/>
      <c r="G36" s="27">
        <v>39425.714257140004</v>
      </c>
      <c r="H36" s="27">
        <v>39425.714257140004</v>
      </c>
      <c r="I36" s="27">
        <v>39425.714257140004</v>
      </c>
      <c r="J36" s="27">
        <v>39425.714257140004</v>
      </c>
      <c r="K36" s="23" t="s">
        <v>39</v>
      </c>
      <c r="L36" s="23" t="s">
        <v>39</v>
      </c>
      <c r="M36" s="23" t="s">
        <v>39</v>
      </c>
      <c r="N36" s="27">
        <v>39425.714257140004</v>
      </c>
      <c r="R36" s="8" t="s">
        <v>73</v>
      </c>
      <c r="S36" s="9" t="s">
        <v>74</v>
      </c>
      <c r="T36" s="9"/>
      <c r="U36" s="9"/>
      <c r="V36" s="9"/>
      <c r="W36" s="10"/>
      <c r="X36" s="10"/>
      <c r="Y36" s="10"/>
      <c r="Z36" s="10"/>
    </row>
    <row r="37" spans="1:26" ht="15.6">
      <c r="A37" s="23" t="s">
        <v>40</v>
      </c>
      <c r="B37" s="23">
        <v>2014</v>
      </c>
      <c r="C37" s="23">
        <v>17601</v>
      </c>
      <c r="D37" s="27">
        <v>608571.42857142899</v>
      </c>
      <c r="E37" s="25">
        <v>12171.42857142858</v>
      </c>
      <c r="F37" s="26"/>
      <c r="G37" s="27">
        <v>608571.42857142899</v>
      </c>
      <c r="H37" s="27">
        <v>608571.42857142899</v>
      </c>
      <c r="I37" s="27">
        <v>608571.42857142899</v>
      </c>
      <c r="J37" s="27">
        <v>608571.42857142899</v>
      </c>
      <c r="K37" s="23" t="s">
        <v>40</v>
      </c>
      <c r="L37" s="23" t="s">
        <v>40</v>
      </c>
      <c r="M37" s="23" t="s">
        <v>40</v>
      </c>
      <c r="N37" s="27">
        <v>608571.42857142899</v>
      </c>
      <c r="R37" s="8" t="s">
        <v>75</v>
      </c>
      <c r="S37" s="9" t="s">
        <v>76</v>
      </c>
      <c r="T37" s="10"/>
      <c r="U37" s="10"/>
      <c r="V37" s="10"/>
      <c r="W37" s="10"/>
      <c r="X37" s="10"/>
      <c r="Y37" s="10"/>
      <c r="Z37" s="10"/>
    </row>
    <row r="38" spans="1:26" ht="15.6">
      <c r="A38" s="23" t="s">
        <v>41</v>
      </c>
      <c r="B38" s="23">
        <v>2013</v>
      </c>
      <c r="C38" s="23">
        <v>12851</v>
      </c>
      <c r="D38" s="27">
        <v>617500</v>
      </c>
      <c r="E38" s="25">
        <v>12350</v>
      </c>
      <c r="F38" s="26"/>
      <c r="G38" s="27">
        <v>617500</v>
      </c>
      <c r="H38" s="27">
        <v>617500</v>
      </c>
      <c r="I38" s="27">
        <v>617500</v>
      </c>
      <c r="J38" s="27">
        <v>617500</v>
      </c>
      <c r="K38" s="23" t="s">
        <v>41</v>
      </c>
      <c r="L38" s="23" t="s">
        <v>41</v>
      </c>
      <c r="M38" s="23" t="s">
        <v>41</v>
      </c>
      <c r="N38" s="27">
        <v>617500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5.6">
      <c r="A39" s="23" t="s">
        <v>42</v>
      </c>
      <c r="B39" s="23">
        <v>2012</v>
      </c>
      <c r="C39" s="23">
        <v>18171</v>
      </c>
      <c r="D39" s="27">
        <v>626428.57142857194</v>
      </c>
      <c r="E39" s="25">
        <v>12528.571428571438</v>
      </c>
      <c r="F39" s="26"/>
      <c r="G39" s="27">
        <v>626428.57142857194</v>
      </c>
      <c r="H39" s="27">
        <v>626428.57142857194</v>
      </c>
      <c r="I39" s="27">
        <v>626428.57142857194</v>
      </c>
      <c r="J39" s="27">
        <v>626428.57142857194</v>
      </c>
      <c r="K39" s="23" t="s">
        <v>42</v>
      </c>
      <c r="L39" s="23" t="s">
        <v>42</v>
      </c>
      <c r="M39" s="23" t="s">
        <v>42</v>
      </c>
      <c r="N39" s="27">
        <v>626428.57142857194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5.6">
      <c r="A40" s="23" t="s">
        <v>43</v>
      </c>
      <c r="B40" s="23">
        <v>2011</v>
      </c>
      <c r="C40" s="23">
        <v>12990</v>
      </c>
      <c r="D40" s="27">
        <v>635357.14285714203</v>
      </c>
      <c r="E40" s="25">
        <v>12707.142857142841</v>
      </c>
      <c r="F40" s="26"/>
      <c r="G40" s="27">
        <v>635357.14285714203</v>
      </c>
      <c r="H40" s="27">
        <v>635357.14285714203</v>
      </c>
      <c r="I40" s="27">
        <v>635357.14285714203</v>
      </c>
      <c r="J40" s="27">
        <v>635357.14285714203</v>
      </c>
      <c r="K40" s="23" t="s">
        <v>43</v>
      </c>
      <c r="L40" s="23" t="s">
        <v>43</v>
      </c>
      <c r="M40" s="23" t="s">
        <v>43</v>
      </c>
      <c r="N40" s="27">
        <v>635357.14285714203</v>
      </c>
      <c r="R40" s="8" t="s">
        <v>46</v>
      </c>
      <c r="S40" s="9" t="s">
        <v>77</v>
      </c>
      <c r="T40" s="10"/>
      <c r="U40" s="10"/>
      <c r="V40" s="10"/>
      <c r="W40" s="10"/>
      <c r="X40" s="10"/>
      <c r="Y40" s="10"/>
      <c r="Z40" s="10"/>
    </row>
    <row r="41" spans="1:26" ht="15.6">
      <c r="A41" s="23" t="s">
        <v>44</v>
      </c>
      <c r="B41" s="23">
        <v>2010</v>
      </c>
      <c r="C41" s="23">
        <v>14619</v>
      </c>
      <c r="D41" s="27">
        <v>644285.71428571502</v>
      </c>
      <c r="E41" s="25">
        <v>12885.714285714301</v>
      </c>
      <c r="F41" s="26"/>
      <c r="G41" s="27">
        <v>644285.71428571502</v>
      </c>
      <c r="H41" s="27">
        <v>644285.71428571502</v>
      </c>
      <c r="I41" s="27">
        <v>644285.71428571502</v>
      </c>
      <c r="J41" s="27">
        <v>644285.71428571502</v>
      </c>
      <c r="K41" s="23" t="s">
        <v>44</v>
      </c>
      <c r="L41" s="23" t="s">
        <v>44</v>
      </c>
      <c r="M41" s="23" t="s">
        <v>44</v>
      </c>
      <c r="N41" s="27">
        <v>644285.71428571502</v>
      </c>
      <c r="R41" s="2"/>
      <c r="S41" s="2"/>
      <c r="T41" s="4" t="s">
        <v>78</v>
      </c>
      <c r="U41" s="2"/>
      <c r="V41" s="2"/>
      <c r="W41" s="2"/>
      <c r="X41" s="2"/>
      <c r="Y41" s="2"/>
      <c r="Z41" s="2"/>
    </row>
    <row r="42" spans="1:26" ht="15.6">
      <c r="A42" s="13"/>
      <c r="B42" s="13"/>
      <c r="C42" s="13"/>
      <c r="D42" s="12"/>
      <c r="E42" s="14"/>
      <c r="F42" s="13"/>
      <c r="G42" s="15">
        <v>10164163.428457953</v>
      </c>
      <c r="H42" s="15">
        <v>282337.8730127209</v>
      </c>
      <c r="I42" s="15">
        <v>12000</v>
      </c>
      <c r="J42" s="15">
        <v>644285.71428571502</v>
      </c>
      <c r="K42" s="16">
        <f>COUNT(#REF!)</f>
        <v>0</v>
      </c>
      <c r="L42" s="16">
        <v>41</v>
      </c>
      <c r="M42" s="16">
        <v>0</v>
      </c>
      <c r="N42" s="16">
        <v>36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R43" s="8" t="s">
        <v>79</v>
      </c>
      <c r="S43" s="8" t="s">
        <v>80</v>
      </c>
      <c r="T43" s="10"/>
      <c r="U43" s="10"/>
      <c r="V43" s="10"/>
      <c r="W43" s="10"/>
      <c r="X43" s="10"/>
      <c r="Y43" s="10"/>
      <c r="Z43" s="10"/>
    </row>
    <row r="44" spans="1:26">
      <c r="D44" t="s">
        <v>5</v>
      </c>
      <c r="E44" s="1">
        <f>AVERAGE(D2:D41)</f>
        <v>282337.8730127209</v>
      </c>
      <c r="F44" s="1">
        <f>MIN(D2:D41)</f>
        <v>12000</v>
      </c>
      <c r="G44" s="1">
        <f>MAX(D2:D41)</f>
        <v>644285.71428571502</v>
      </c>
      <c r="R44" s="10"/>
      <c r="S44" s="8" t="s">
        <v>81</v>
      </c>
      <c r="T44" s="10"/>
      <c r="U44" s="10"/>
      <c r="V44" s="10"/>
      <c r="W44" s="10"/>
      <c r="X44" s="10"/>
      <c r="Y44" s="10"/>
      <c r="Z44" s="10"/>
    </row>
    <row r="45" spans="1:26">
      <c r="D45" s="1">
        <f>SUM(D2:D41)</f>
        <v>10164163.428457953</v>
      </c>
      <c r="R45" s="2"/>
      <c r="S45" s="4"/>
      <c r="T45" s="2"/>
      <c r="U45" s="2"/>
      <c r="V45" s="2"/>
      <c r="W45" s="2"/>
      <c r="X45" s="2"/>
      <c r="Y45" s="2"/>
      <c r="Z45" s="2"/>
    </row>
    <row r="46" spans="1:26">
      <c r="D46">
        <f>COUNT(A2:A41)</f>
        <v>0</v>
      </c>
      <c r="E46">
        <f>COUNTA(A1:A41)</f>
        <v>41</v>
      </c>
      <c r="F46">
        <f>COUNTBLANK(A2:A41)</f>
        <v>0</v>
      </c>
      <c r="R46" s="2"/>
      <c r="S46" s="30" t="s">
        <v>82</v>
      </c>
      <c r="T46" s="31"/>
      <c r="U46" s="2"/>
      <c r="V46" s="11">
        <v>1234</v>
      </c>
      <c r="W46" s="2"/>
      <c r="X46" s="2"/>
      <c r="Y46" s="2"/>
      <c r="Z46" s="2"/>
    </row>
    <row r="47" spans="1:26">
      <c r="D47">
        <f>COUNT(D2:D41)</f>
        <v>36</v>
      </c>
    </row>
  </sheetData>
  <mergeCells count="2">
    <mergeCell ref="S46:T46"/>
    <mergeCell ref="R10:V10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Sales Data</vt:lpstr>
      <vt:lpstr>Sheet2</vt:lpstr>
      <vt:lpstr>Sheet3</vt:lpstr>
      <vt:lpstr>Sheet5</vt:lpstr>
      <vt:lpstr>Sheet4</vt:lpstr>
      <vt:lpstr>Sheet6</vt:lpstr>
      <vt:lpstr>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Harsha Gudekar</cp:lastModifiedBy>
  <dcterms:created xsi:type="dcterms:W3CDTF">2025-07-28T11:25:56Z</dcterms:created>
  <dcterms:modified xsi:type="dcterms:W3CDTF">2025-12-27T06:08:12Z</dcterms:modified>
</cp:coreProperties>
</file>