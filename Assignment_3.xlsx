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709C8D7F-DD1E-42D8-AB52-593B15C948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ty_and_State" sheetId="2" r:id="rId1"/>
    <sheet name="VlookUp" sheetId="1" r:id="rId2"/>
    <sheet name="Hookup" sheetId="3" r:id="rId3"/>
    <sheet name="cansole1" sheetId="5" r:id="rId4"/>
    <sheet name="cansole2" sheetId="6" r:id="rId5"/>
    <sheet name="Sales_data_set" sheetId="4" r:id="rId6"/>
    <sheet name="cansole3" sheetId="7" r:id="rId7"/>
    <sheet name="Cansolidate" sheetId="8" r:id="rId8"/>
    <sheet name="Match" sheetId="9" r:id="rId9"/>
  </sheets>
  <definedNames>
    <definedName name="Employee_2">Hookup!$A$1:$P$6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G3" i="1"/>
  <c r="G4" i="1"/>
  <c r="G5" i="1"/>
  <c r="G6" i="1"/>
  <c r="G7" i="1"/>
  <c r="G8" i="1"/>
  <c r="G10" i="1"/>
  <c r="G12" i="1"/>
  <c r="G13" i="1"/>
  <c r="G14" i="1"/>
  <c r="G15" i="1"/>
  <c r="G16" i="1"/>
  <c r="G17" i="1"/>
  <c r="G18" i="1"/>
  <c r="C6" i="3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2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M6" i="9"/>
  <c r="M5" i="9"/>
  <c r="Q45" i="8"/>
  <c r="R45" i="8"/>
  <c r="S45" i="8"/>
  <c r="T45" i="8"/>
  <c r="Q46" i="8"/>
  <c r="R46" i="8"/>
  <c r="S46" i="8"/>
  <c r="T46" i="8"/>
  <c r="Q47" i="8"/>
  <c r="R47" i="8"/>
  <c r="S47" i="8"/>
  <c r="T47" i="8"/>
  <c r="Q48" i="8"/>
  <c r="R48" i="8"/>
  <c r="S48" i="8"/>
  <c r="T48" i="8"/>
  <c r="Q49" i="8"/>
  <c r="R49" i="8"/>
  <c r="S49" i="8"/>
  <c r="T49" i="8"/>
  <c r="Q50" i="8"/>
  <c r="R50" i="8"/>
  <c r="S50" i="8"/>
  <c r="T50" i="8"/>
  <c r="Q51" i="8"/>
  <c r="R51" i="8"/>
  <c r="S51" i="8"/>
  <c r="T51" i="8"/>
  <c r="Q52" i="8"/>
  <c r="R52" i="8"/>
  <c r="S52" i="8"/>
  <c r="S53" i="8" s="1"/>
  <c r="T52" i="8"/>
  <c r="Q53" i="8"/>
  <c r="R53" i="8"/>
  <c r="T53" i="8"/>
  <c r="Q54" i="8"/>
  <c r="R54" i="8"/>
  <c r="S54" i="8"/>
  <c r="T54" i="8"/>
  <c r="Q55" i="8"/>
  <c r="R55" i="8"/>
  <c r="S55" i="8"/>
  <c r="T55" i="8"/>
  <c r="Q57" i="8"/>
  <c r="R57" i="8"/>
  <c r="S57" i="8"/>
  <c r="T57" i="8"/>
  <c r="Q58" i="8"/>
  <c r="R58" i="8"/>
  <c r="S58" i="8"/>
  <c r="T58" i="8"/>
  <c r="Q59" i="8"/>
  <c r="R59" i="8"/>
  <c r="S59" i="8"/>
  <c r="T59" i="8"/>
  <c r="Q60" i="8"/>
  <c r="R60" i="8"/>
  <c r="S60" i="8"/>
  <c r="T60" i="8"/>
  <c r="Q61" i="8"/>
  <c r="R61" i="8"/>
  <c r="S61" i="8"/>
  <c r="T61" i="8"/>
  <c r="T62" i="8" s="1"/>
  <c r="Q62" i="8"/>
  <c r="R62" i="8"/>
  <c r="S62" i="8"/>
  <c r="M4" i="9"/>
  <c r="M3" i="9"/>
  <c r="M2" i="9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22" i="4"/>
  <c r="F125" i="8"/>
  <c r="G125" i="8"/>
  <c r="H125" i="8"/>
  <c r="H128" i="8" s="1"/>
  <c r="I125" i="8"/>
  <c r="F126" i="8"/>
  <c r="G126" i="8"/>
  <c r="H126" i="8"/>
  <c r="I126" i="8"/>
  <c r="F127" i="8"/>
  <c r="G127" i="8"/>
  <c r="H127" i="8"/>
  <c r="I127" i="8"/>
  <c r="F129" i="8"/>
  <c r="G129" i="8"/>
  <c r="H129" i="8"/>
  <c r="I129" i="8"/>
  <c r="F130" i="8"/>
  <c r="G130" i="8"/>
  <c r="H130" i="8"/>
  <c r="I130" i="8"/>
  <c r="F131" i="8"/>
  <c r="G131" i="8"/>
  <c r="H131" i="8"/>
  <c r="I131" i="8"/>
  <c r="F132" i="8"/>
  <c r="G132" i="8"/>
  <c r="H132" i="8"/>
  <c r="I132" i="8"/>
  <c r="F133" i="8"/>
  <c r="G133" i="8"/>
  <c r="H133" i="8"/>
  <c r="I133" i="8"/>
  <c r="F134" i="8"/>
  <c r="G134" i="8"/>
  <c r="H134" i="8"/>
  <c r="I134" i="8"/>
  <c r="F135" i="8"/>
  <c r="G135" i="8"/>
  <c r="H135" i="8"/>
  <c r="I135" i="8"/>
  <c r="F136" i="8"/>
  <c r="G136" i="8"/>
  <c r="H136" i="8"/>
  <c r="I136" i="8"/>
  <c r="F137" i="8"/>
  <c r="G137" i="8"/>
  <c r="H137" i="8"/>
  <c r="I137" i="8"/>
  <c r="F138" i="8"/>
  <c r="G138" i="8"/>
  <c r="H138" i="8"/>
  <c r="I138" i="8"/>
  <c r="F139" i="8"/>
  <c r="G139" i="8"/>
  <c r="H139" i="8"/>
  <c r="I139" i="8"/>
  <c r="F140" i="8"/>
  <c r="G140" i="8"/>
  <c r="H140" i="8"/>
  <c r="I140" i="8"/>
  <c r="F141" i="8"/>
  <c r="G141" i="8"/>
  <c r="H141" i="8"/>
  <c r="I141" i="8"/>
  <c r="F142" i="8"/>
  <c r="G142" i="8"/>
  <c r="H142" i="8"/>
  <c r="I142" i="8"/>
  <c r="F143" i="8"/>
  <c r="G143" i="8"/>
  <c r="H143" i="8"/>
  <c r="I143" i="8"/>
  <c r="F144" i="8"/>
  <c r="G144" i="8"/>
  <c r="H144" i="8"/>
  <c r="I144" i="8"/>
  <c r="F145" i="8"/>
  <c r="G145" i="8"/>
  <c r="H145" i="8"/>
  <c r="I145" i="8"/>
  <c r="F146" i="8"/>
  <c r="G146" i="8"/>
  <c r="H146" i="8"/>
  <c r="I146" i="8"/>
  <c r="F147" i="8"/>
  <c r="G147" i="8"/>
  <c r="H147" i="8"/>
  <c r="I147" i="8"/>
  <c r="F148" i="8"/>
  <c r="G148" i="8"/>
  <c r="H148" i="8"/>
  <c r="I148" i="8"/>
  <c r="F96" i="8"/>
  <c r="G96" i="8"/>
  <c r="H96" i="8"/>
  <c r="I96" i="8"/>
  <c r="F97" i="8"/>
  <c r="G97" i="8"/>
  <c r="H97" i="8"/>
  <c r="I97" i="8"/>
  <c r="F98" i="8"/>
  <c r="G98" i="8"/>
  <c r="H98" i="8"/>
  <c r="I98" i="8"/>
  <c r="I99" i="8" s="1"/>
  <c r="F99" i="8"/>
  <c r="G99" i="8"/>
  <c r="H99" i="8"/>
  <c r="F100" i="8"/>
  <c r="G100" i="8"/>
  <c r="H100" i="8"/>
  <c r="I100" i="8"/>
  <c r="F101" i="8"/>
  <c r="G101" i="8"/>
  <c r="H101" i="8"/>
  <c r="I101" i="8"/>
  <c r="F102" i="8"/>
  <c r="G102" i="8"/>
  <c r="H102" i="8"/>
  <c r="I102" i="8"/>
  <c r="F103" i="8"/>
  <c r="G103" i="8"/>
  <c r="H103" i="8"/>
  <c r="I103" i="8"/>
  <c r="F104" i="8"/>
  <c r="G104" i="8"/>
  <c r="H104" i="8"/>
  <c r="I104" i="8"/>
  <c r="F105" i="8"/>
  <c r="G105" i="8"/>
  <c r="H105" i="8"/>
  <c r="I105" i="8"/>
  <c r="F106" i="8"/>
  <c r="G106" i="8"/>
  <c r="H106" i="8"/>
  <c r="I106" i="8"/>
  <c r="F107" i="8"/>
  <c r="G107" i="8"/>
  <c r="H107" i="8"/>
  <c r="I107" i="8"/>
  <c r="F108" i="8"/>
  <c r="G108" i="8"/>
  <c r="H108" i="8"/>
  <c r="I108" i="8"/>
  <c r="F109" i="8"/>
  <c r="G109" i="8"/>
  <c r="H109" i="8"/>
  <c r="I109" i="8"/>
  <c r="F110" i="8"/>
  <c r="G110" i="8"/>
  <c r="H110" i="8"/>
  <c r="I110" i="8"/>
  <c r="F111" i="8"/>
  <c r="G111" i="8"/>
  <c r="H111" i="8"/>
  <c r="I111" i="8"/>
  <c r="F112" i="8"/>
  <c r="G112" i="8"/>
  <c r="H112" i="8"/>
  <c r="I112" i="8"/>
  <c r="F113" i="8"/>
  <c r="G113" i="8"/>
  <c r="H113" i="8"/>
  <c r="I113" i="8"/>
  <c r="F114" i="8"/>
  <c r="G114" i="8"/>
  <c r="H114" i="8"/>
  <c r="I114" i="8"/>
  <c r="F115" i="8"/>
  <c r="G115" i="8"/>
  <c r="F116" i="8"/>
  <c r="G116" i="8"/>
  <c r="H116" i="8"/>
  <c r="I116" i="8"/>
  <c r="F117" i="8"/>
  <c r="G117" i="8"/>
  <c r="H117" i="8"/>
  <c r="I117" i="8"/>
  <c r="F118" i="8"/>
  <c r="G118" i="8"/>
  <c r="H118" i="8"/>
  <c r="H119" i="8" s="1"/>
  <c r="I118" i="8"/>
  <c r="F119" i="8"/>
  <c r="G119" i="8"/>
  <c r="G69" i="8"/>
  <c r="H69" i="8"/>
  <c r="I69" i="8"/>
  <c r="J69" i="8"/>
  <c r="G70" i="8"/>
  <c r="H70" i="8"/>
  <c r="I70" i="8"/>
  <c r="J70" i="8"/>
  <c r="G71" i="8"/>
  <c r="H71" i="8"/>
  <c r="I71" i="8"/>
  <c r="J71" i="8"/>
  <c r="G72" i="8"/>
  <c r="H72" i="8"/>
  <c r="I72" i="8"/>
  <c r="J72" i="8"/>
  <c r="G73" i="8"/>
  <c r="H73" i="8"/>
  <c r="I73" i="8"/>
  <c r="J73" i="8"/>
  <c r="G74" i="8"/>
  <c r="H74" i="8"/>
  <c r="I74" i="8"/>
  <c r="J74" i="8"/>
  <c r="G75" i="8"/>
  <c r="H75" i="8"/>
  <c r="I75" i="8"/>
  <c r="J75" i="8"/>
  <c r="G76" i="8"/>
  <c r="H76" i="8"/>
  <c r="I76" i="8"/>
  <c r="J76" i="8"/>
  <c r="G77" i="8"/>
  <c r="H77" i="8"/>
  <c r="I77" i="8"/>
  <c r="J77" i="8"/>
  <c r="G78" i="8"/>
  <c r="H78" i="8"/>
  <c r="I78" i="8"/>
  <c r="J78" i="8"/>
  <c r="G79" i="8"/>
  <c r="H79" i="8"/>
  <c r="I79" i="8"/>
  <c r="J79" i="8"/>
  <c r="G80" i="8"/>
  <c r="H80" i="8"/>
  <c r="I80" i="8"/>
  <c r="J80" i="8"/>
  <c r="G81" i="8"/>
  <c r="H81" i="8"/>
  <c r="I81" i="8"/>
  <c r="J81" i="8"/>
  <c r="G82" i="8"/>
  <c r="H82" i="8"/>
  <c r="I82" i="8"/>
  <c r="J82" i="8"/>
  <c r="G83" i="8"/>
  <c r="H83" i="8"/>
  <c r="I83" i="8"/>
  <c r="J83" i="8"/>
  <c r="G84" i="8"/>
  <c r="H84" i="8"/>
  <c r="I84" i="8"/>
  <c r="J84" i="8"/>
  <c r="G85" i="8"/>
  <c r="H85" i="8"/>
  <c r="I85" i="8"/>
  <c r="J85" i="8"/>
  <c r="G86" i="8"/>
  <c r="H86" i="8"/>
  <c r="I86" i="8"/>
  <c r="J86" i="8"/>
  <c r="G87" i="8"/>
  <c r="H87" i="8"/>
  <c r="I87" i="8"/>
  <c r="J87" i="8"/>
  <c r="G88" i="8"/>
  <c r="H88" i="8"/>
  <c r="I88" i="8"/>
  <c r="J88" i="8"/>
  <c r="G89" i="8"/>
  <c r="H89" i="8"/>
  <c r="I89" i="8"/>
  <c r="J89" i="8"/>
  <c r="G90" i="8"/>
  <c r="H90" i="8"/>
  <c r="I90" i="8"/>
  <c r="J90" i="8"/>
  <c r="G91" i="8"/>
  <c r="H91" i="8"/>
  <c r="I91" i="8"/>
  <c r="J91" i="8"/>
  <c r="G92" i="8"/>
  <c r="H92" i="8"/>
  <c r="I92" i="8"/>
  <c r="J92" i="8"/>
  <c r="H25" i="8"/>
  <c r="I25" i="8"/>
  <c r="J25" i="8"/>
  <c r="K25" i="8"/>
  <c r="H28" i="8"/>
  <c r="I28" i="8"/>
  <c r="J28" i="8"/>
  <c r="K28" i="8"/>
  <c r="H31" i="8"/>
  <c r="I31" i="8"/>
  <c r="J31" i="8"/>
  <c r="K31" i="8"/>
  <c r="H32" i="8"/>
  <c r="I32" i="8"/>
  <c r="H33" i="8"/>
  <c r="I33" i="8"/>
  <c r="J33" i="8"/>
  <c r="K33" i="8"/>
  <c r="H34" i="8"/>
  <c r="I34" i="8"/>
  <c r="J34" i="8"/>
  <c r="K34" i="8"/>
  <c r="H35" i="8"/>
  <c r="I35" i="8"/>
  <c r="J35" i="8"/>
  <c r="K35" i="8"/>
  <c r="H36" i="8"/>
  <c r="I36" i="8"/>
  <c r="J36" i="8"/>
  <c r="K36" i="8"/>
  <c r="H37" i="8"/>
  <c r="I37" i="8"/>
  <c r="J37" i="8"/>
  <c r="K37" i="8"/>
  <c r="H38" i="8"/>
  <c r="I38" i="8"/>
  <c r="J38" i="8"/>
  <c r="K38" i="8"/>
  <c r="H39" i="8"/>
  <c r="I39" i="8"/>
  <c r="J39" i="8"/>
  <c r="K39" i="8"/>
  <c r="H40" i="8"/>
  <c r="H41" i="8"/>
  <c r="I41" i="8"/>
  <c r="J41" i="8"/>
  <c r="K41" i="8"/>
  <c r="H42" i="8"/>
  <c r="I42" i="8"/>
  <c r="J42" i="8"/>
  <c r="K42" i="8"/>
  <c r="H43" i="8"/>
  <c r="I43" i="8"/>
  <c r="J43" i="8"/>
  <c r="K43" i="8"/>
  <c r="H44" i="8"/>
  <c r="H47" i="8"/>
  <c r="I47" i="8"/>
  <c r="J47" i="8"/>
  <c r="K47" i="8"/>
  <c r="H50" i="8"/>
  <c r="I50" i="8"/>
  <c r="J50" i="8"/>
  <c r="K50" i="8"/>
  <c r="H53" i="8"/>
  <c r="I53" i="8"/>
  <c r="J53" i="8"/>
  <c r="K53" i="8"/>
  <c r="H59" i="8"/>
  <c r="I59" i="8"/>
  <c r="J59" i="8"/>
  <c r="K59" i="8"/>
  <c r="H62" i="8"/>
  <c r="I62" i="8"/>
  <c r="J62" i="8"/>
  <c r="K62" i="8"/>
  <c r="H63" i="8"/>
  <c r="I63" i="8"/>
  <c r="J63" i="8"/>
  <c r="K63" i="8"/>
  <c r="H64" i="8"/>
  <c r="I64" i="8"/>
  <c r="J64" i="8"/>
  <c r="K64" i="8"/>
  <c r="C32" i="3"/>
  <c r="C31" i="3"/>
  <c r="C30" i="3"/>
  <c r="D6" i="3"/>
  <c r="E6" i="3"/>
  <c r="F6" i="3"/>
  <c r="G6" i="3"/>
  <c r="H6" i="3"/>
  <c r="I6" i="3"/>
  <c r="J6" i="3"/>
  <c r="K6" i="3"/>
  <c r="L6" i="3"/>
  <c r="M6" i="3"/>
  <c r="N6" i="3"/>
  <c r="O6" i="3"/>
  <c r="P6" i="3"/>
  <c r="K29" i="1"/>
  <c r="K28" i="1"/>
  <c r="K2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  <c r="C29" i="3"/>
  <c r="K26" i="1"/>
  <c r="I115" i="8" l="1"/>
  <c r="G128" i="8"/>
  <c r="I119" i="8"/>
  <c r="H115" i="8"/>
  <c r="F128" i="8"/>
  <c r="K40" i="8"/>
  <c r="I128" i="8"/>
  <c r="J40" i="8"/>
  <c r="K44" i="8"/>
  <c r="J44" i="8"/>
  <c r="I40" i="8"/>
  <c r="I44" i="8"/>
  <c r="K56" i="8"/>
  <c r="K32" i="8"/>
  <c r="H56" i="8"/>
  <c r="J32" i="8"/>
  <c r="J56" i="8"/>
  <c r="I56" i="8"/>
</calcChain>
</file>

<file path=xl/sharedStrings.xml><?xml version="1.0" encoding="utf-8"?>
<sst xmlns="http://schemas.openxmlformats.org/spreadsheetml/2006/main" count="462" uniqueCount="117">
  <si>
    <t>City</t>
  </si>
  <si>
    <t>State</t>
  </si>
  <si>
    <t>Mumbai</t>
  </si>
  <si>
    <t>Maharashtra</t>
  </si>
  <si>
    <t>Udaipur</t>
  </si>
  <si>
    <t>Rajasthan</t>
  </si>
  <si>
    <t>Lucknow</t>
  </si>
  <si>
    <t>UP</t>
  </si>
  <si>
    <t>Surat</t>
  </si>
  <si>
    <t>Gujrat</t>
  </si>
  <si>
    <t>Banaras</t>
  </si>
  <si>
    <t>Indore</t>
  </si>
  <si>
    <t>MP</t>
  </si>
  <si>
    <t>Pune</t>
  </si>
  <si>
    <t>Bhopal</t>
  </si>
  <si>
    <t>Jyotpur</t>
  </si>
  <si>
    <t>Ahmdabaad</t>
  </si>
  <si>
    <t>Gorakhpur</t>
  </si>
  <si>
    <t>Name</t>
  </si>
  <si>
    <t>Age</t>
  </si>
  <si>
    <t>Salary</t>
  </si>
  <si>
    <t>TDS 3%</t>
  </si>
  <si>
    <t>Pass Out Year</t>
  </si>
  <si>
    <t>Ramesh</t>
  </si>
  <si>
    <t>Select the entire range or dataset and Name it as a "Employee" from Name Box.</t>
  </si>
  <si>
    <t>Mahesh</t>
  </si>
  <si>
    <t>Remove the blank columns at once.</t>
  </si>
  <si>
    <t>Suresh</t>
  </si>
  <si>
    <t>Make the headers as bold and also make the background light blue.</t>
  </si>
  <si>
    <t>Jayesh</t>
  </si>
  <si>
    <t>Give a border to the dataset ( or range).</t>
  </si>
  <si>
    <t>Jitesh</t>
  </si>
  <si>
    <r>
      <rPr>
        <sz val="11"/>
        <color theme="1"/>
        <rFont val="Calibri"/>
        <charset val="134"/>
        <scheme val="minor"/>
      </rPr>
      <t xml:space="preserve">Change the font size of headers at once to </t>
    </r>
    <r>
      <rPr>
        <b/>
        <sz val="11"/>
        <color theme="1"/>
        <rFont val="Calibri"/>
        <charset val="134"/>
        <scheme val="minor"/>
      </rPr>
      <t>16</t>
    </r>
    <r>
      <rPr>
        <sz val="11"/>
        <color theme="1"/>
        <rFont val="Calibri"/>
        <charset val="134"/>
        <scheme val="minor"/>
      </rPr>
      <t>.</t>
    </r>
  </si>
  <si>
    <t xml:space="preserve">  </t>
  </si>
  <si>
    <t>Gitesh</t>
  </si>
  <si>
    <t>Change the Data to there respected data-type of each column. (e.g. Name is should be "Text")</t>
  </si>
  <si>
    <t>kamlesh</t>
  </si>
  <si>
    <t xml:space="preserve">Column </t>
  </si>
  <si>
    <t>Data Type</t>
  </si>
  <si>
    <t>Hitesh</t>
  </si>
  <si>
    <t>Text</t>
  </si>
  <si>
    <t>Jay</t>
  </si>
  <si>
    <t xml:space="preserve">Age </t>
  </si>
  <si>
    <t>Number</t>
  </si>
  <si>
    <t>(* with no decimal values)</t>
  </si>
  <si>
    <t>ajay</t>
  </si>
  <si>
    <t>Accounts</t>
  </si>
  <si>
    <t>Rajesh</t>
  </si>
  <si>
    <t xml:space="preserve">City </t>
  </si>
  <si>
    <t>Sujay</t>
  </si>
  <si>
    <t>Sanjay</t>
  </si>
  <si>
    <t>Dhananjay</t>
  </si>
  <si>
    <t>Highlight the entire rows whose age is less then 30 in red color.</t>
  </si>
  <si>
    <t>Nirjay</t>
  </si>
  <si>
    <t>Find the TDS 3% of salary for each person.</t>
  </si>
  <si>
    <t>Rohan</t>
  </si>
  <si>
    <t>Mizoram</t>
  </si>
  <si>
    <t>Use the City_and_State sheet and fill the Sate column of current sheet using lookup.</t>
  </si>
  <si>
    <t>Handle the N/A or any other error if occure.</t>
  </si>
  <si>
    <t>Find the following data of "Gitesh" using Vlookup.</t>
  </si>
  <si>
    <t>Pass out Yr</t>
  </si>
  <si>
    <t>Go to "Data Set 1" and copy the entire data and paste by using Transpore property so the data should look like above.</t>
  </si>
  <si>
    <t>Remove the blank rows at once if any..</t>
  </si>
  <si>
    <t>Fill the State row use the "City_and_state" sheet while using loop.</t>
  </si>
  <si>
    <t>Select the entire range or dataset and Name it as a "Employee_2" from Name Box.</t>
  </si>
  <si>
    <t>Bold the headers and also make the background light blue.</t>
  </si>
  <si>
    <t>Give a border to the dataset or range.</t>
  </si>
  <si>
    <t>Change the font size of headers at once.</t>
  </si>
  <si>
    <t>Highlight the entire rows whose age is less then 30.</t>
  </si>
  <si>
    <t>Find the following data of "Gitesh" using Hlookup.</t>
  </si>
  <si>
    <t>Sales</t>
  </si>
  <si>
    <t>Commission %</t>
  </si>
  <si>
    <t>Rating</t>
  </si>
  <si>
    <t>Min Range</t>
  </si>
  <si>
    <t>Max Range</t>
  </si>
  <si>
    <t>Above</t>
  </si>
  <si>
    <t>Use lookups.</t>
  </si>
  <si>
    <t>Base on sales range commission % and rating are give use above table and fill the data.</t>
  </si>
  <si>
    <t>Use Hlookup and fill the data.</t>
  </si>
  <si>
    <t>Sales of Finacial Year 2019-20</t>
  </si>
  <si>
    <t>Product</t>
  </si>
  <si>
    <t>Q1</t>
  </si>
  <si>
    <t>Q2</t>
  </si>
  <si>
    <t>Q3</t>
  </si>
  <si>
    <t>Q4</t>
  </si>
  <si>
    <t>Laptop</t>
  </si>
  <si>
    <t>Mobile</t>
  </si>
  <si>
    <t>Washing Machine</t>
  </si>
  <si>
    <t>Smart Watches</t>
  </si>
  <si>
    <t>Tabs</t>
  </si>
  <si>
    <t>Smart Pens</t>
  </si>
  <si>
    <t>Sales of Finacial Year 2018-19</t>
  </si>
  <si>
    <t>Sales of Finacial Year 2017-16</t>
  </si>
  <si>
    <t>Use the consolidate .</t>
  </si>
  <si>
    <t>Find the total sales of each product from year 17-16 to 19-18</t>
  </si>
  <si>
    <t>(i.e. from Cansole 1 to 3)</t>
  </si>
  <si>
    <t>Find the max sales of each product from year 17-16 to 19-19</t>
  </si>
  <si>
    <t>Find the min sales of each product from year 17-16 to 19-20</t>
  </si>
  <si>
    <t>Find the average sales of each product from year 17-16 to 19-21</t>
  </si>
  <si>
    <t xml:space="preserve">Note: </t>
  </si>
  <si>
    <t>In output header row and Product column should be there.</t>
  </si>
  <si>
    <t>Hint* :</t>
  </si>
  <si>
    <t>Will have 4 different table for each Question.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</si>
  <si>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</si>
  <si>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</si>
  <si>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</si>
  <si>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</si>
  <si>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</si>
  <si>
    <t>Total</t>
  </si>
  <si>
    <t>3</t>
  </si>
  <si>
    <t>Max</t>
  </si>
  <si>
    <t>Min</t>
  </si>
  <si>
    <t>AVG</t>
  </si>
  <si>
    <t>If there will be any change in main data change should be reflect in consolidated data.</t>
  </si>
  <si>
    <t>MIN</t>
  </si>
  <si>
    <t>MAX</t>
  </si>
  <si>
    <t>Assignment_3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</si>
</sst>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_(&quot;$&quot;* #,##0_);_(&quot;$&quot;* \(#,##0\);_(&quot;$&quot;* &quot;-&quot;??_);_(@_)"/>
    <numFmt numFmtId="165" formatCode="&quot;₹&quot;\ #,##0.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7" fillId="2" borderId="1" xfId="0" applyFont="1" applyFill="1" applyBorder="1">
      <alignment vertical="center"/>
    </xf>
    <xf numFmtId="164" fontId="9" fillId="0" borderId="1" xfId="0" applyNumberFormat="1" applyFont="1" applyBorder="1">
      <alignment vertic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5" borderId="0" xfId="0" applyFill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10" fillId="0" borderId="0" xfId="0" applyFont="1">
      <alignment vertical="center"/>
    </xf>
    <xf numFmtId="0" fontId="7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5" fillId="5" borderId="0" xfId="0" applyFont="1" applyFill="1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12" fillId="8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2" fontId="12" fillId="8" borderId="1" xfId="0" applyNumberFormat="1" applyFont="1" applyFill="1" applyBorder="1">
      <alignment vertical="center"/>
    </xf>
    <xf numFmtId="1" fontId="0" fillId="0" borderId="0" xfId="0" applyNumberFormat="1">
      <alignment vertical="center"/>
    </xf>
    <xf numFmtId="1" fontId="12" fillId="8" borderId="1" xfId="0" applyNumberFormat="1" applyFont="1" applyFill="1" applyBorder="1">
      <alignment vertical="center"/>
    </xf>
    <xf numFmtId="1" fontId="0" fillId="0" borderId="1" xfId="0" applyNumberFormat="1" applyBorder="1">
      <alignment vertical="center"/>
    </xf>
    <xf numFmtId="44" fontId="0" fillId="0" borderId="0" xfId="0" applyNumberFormat="1">
      <alignment vertical="center"/>
    </xf>
    <xf numFmtId="44" fontId="12" fillId="8" borderId="1" xfId="0" applyNumberFormat="1" applyFont="1" applyFill="1" applyBorder="1">
      <alignment vertical="center"/>
    </xf>
    <xf numFmtId="44" fontId="0" fillId="0" borderId="1" xfId="0" applyNumberFormat="1" applyBorder="1">
      <alignment vertical="center"/>
    </xf>
    <xf numFmtId="165" fontId="0" fillId="0" borderId="1" xfId="0" applyNumberFormat="1" applyBorder="1">
      <alignment vertical="center"/>
    </xf>
    <xf numFmtId="0" fontId="12" fillId="8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3" fillId="8" borderId="1" xfId="0" applyFont="1" applyFill="1" applyBorder="1">
      <alignment vertical="center"/>
    </xf>
    <xf numFmtId="49" fontId="13" fillId="8" borderId="1" xfId="0" applyNumberFormat="1" applyFont="1" applyFill="1" applyBorder="1">
      <alignment vertical="center"/>
    </xf>
    <xf numFmtId="1" fontId="13" fillId="8" borderId="1" xfId="0" applyNumberFormat="1" applyFont="1" applyFill="1" applyBorder="1">
      <alignment vertical="center"/>
    </xf>
    <xf numFmtId="44" fontId="13" fillId="8" borderId="1" xfId="0" applyNumberFormat="1" applyFont="1" applyFill="1" applyBorder="1">
      <alignment vertical="center"/>
    </xf>
    <xf numFmtId="9" fontId="5" fillId="0" borderId="2" xfId="1" applyFont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0" fontId="1" fillId="0" borderId="0" xfId="0" applyFont="1">
      <alignment vertical="center"/>
    </xf>
    <xf numFmtId="164" fontId="0" fillId="0" borderId="0" xfId="0" applyNumberFormat="1">
      <alignment vertical="center"/>
    </xf>
    <xf numFmtId="0" fontId="1" fillId="8" borderId="0" xfId="0" applyFont="1" applyFill="1">
      <alignment vertical="center"/>
    </xf>
    <xf numFmtId="0" fontId="0" fillId="8" borderId="0" xfId="0" applyFill="1">
      <alignment vertical="center"/>
    </xf>
    <xf numFmtId="164" fontId="0" fillId="8" borderId="0" xfId="0" applyNumberFormat="1" applyFill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164" fontId="0" fillId="2" borderId="0" xfId="0" applyNumberFormat="1" applyFill="1">
      <alignment vertical="center"/>
    </xf>
    <xf numFmtId="0" fontId="1" fillId="9" borderId="0" xfId="0" applyFont="1" applyFill="1">
      <alignment vertical="center"/>
    </xf>
    <xf numFmtId="0" fontId="0" fillId="9" borderId="0" xfId="0" applyFill="1">
      <alignment vertical="center"/>
    </xf>
    <xf numFmtId="164" fontId="0" fillId="9" borderId="0" xfId="0" applyNumberFormat="1" applyFill="1">
      <alignment vertical="center"/>
    </xf>
    <xf numFmtId="0" fontId="1" fillId="10" borderId="0" xfId="0" applyFont="1" applyFill="1">
      <alignment vertical="center"/>
    </xf>
    <xf numFmtId="0" fontId="0" fillId="10" borderId="0" xfId="0" applyFill="1">
      <alignment vertical="center"/>
    </xf>
    <xf numFmtId="164" fontId="0" fillId="10" borderId="0" xfId="0" applyNumberFormat="1" applyFill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fill>
        <patternFill>
          <bgColor rgb="FFFF0000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S14"/>
  <sheetViews>
    <sheetView topLeftCell="B1" workbookViewId="0">
      <selection activeCell="D3" sqref="D3"/>
    </sheetView>
  </sheetViews>
  <sheetFormatPr defaultColWidth="9.109375" defaultRowHeight="14.4"/>
  <cols>
    <col min="1" max="1" width="12.44140625" customWidth="1"/>
    <col min="2" max="2" width="12.88671875" customWidth="1"/>
    <col min="4" max="4" width="12.44140625" customWidth="1"/>
    <col min="5" max="5" width="12.88671875" customWidth="1"/>
  </cols>
  <sheetData>
    <row r="3" spans="4:19" ht="21">
      <c r="D3" s="26" t="s">
        <v>0</v>
      </c>
      <c r="E3" s="26" t="s">
        <v>1</v>
      </c>
    </row>
    <row r="4" spans="4:19">
      <c r="D4" s="2" t="s">
        <v>2</v>
      </c>
      <c r="E4" s="2" t="s">
        <v>3</v>
      </c>
    </row>
    <row r="5" spans="4:19">
      <c r="D5" s="2" t="s">
        <v>4</v>
      </c>
      <c r="E5" s="2" t="s">
        <v>5</v>
      </c>
    </row>
    <row r="6" spans="4:19">
      <c r="D6" s="2" t="s">
        <v>6</v>
      </c>
      <c r="E6" s="2" t="s">
        <v>7</v>
      </c>
    </row>
    <row r="7" spans="4:19">
      <c r="D7" s="2" t="s">
        <v>8</v>
      </c>
      <c r="E7" s="2" t="s">
        <v>9</v>
      </c>
    </row>
    <row r="8" spans="4:19">
      <c r="D8" s="2" t="s">
        <v>10</v>
      </c>
      <c r="E8" s="2" t="s">
        <v>7</v>
      </c>
    </row>
    <row r="9" spans="4:19">
      <c r="D9" s="2" t="s">
        <v>11</v>
      </c>
      <c r="E9" s="2" t="s">
        <v>12</v>
      </c>
    </row>
    <row r="10" spans="4:19">
      <c r="D10" s="2" t="s">
        <v>13</v>
      </c>
      <c r="E10" s="2" t="s">
        <v>3</v>
      </c>
    </row>
    <row r="11" spans="4:19">
      <c r="D11" s="2" t="s">
        <v>14</v>
      </c>
      <c r="E11" s="2" t="s">
        <v>12</v>
      </c>
    </row>
    <row r="12" spans="4:19" ht="21">
      <c r="D12" s="2" t="s">
        <v>15</v>
      </c>
      <c r="E12" s="2" t="s">
        <v>5</v>
      </c>
      <c r="H12" s="26" t="s">
        <v>0</v>
      </c>
      <c r="I12" s="2" t="s">
        <v>2</v>
      </c>
      <c r="J12" s="2" t="s">
        <v>4</v>
      </c>
      <c r="K12" s="2" t="s">
        <v>6</v>
      </c>
      <c r="L12" s="2" t="s">
        <v>8</v>
      </c>
      <c r="M12" s="2" t="s">
        <v>10</v>
      </c>
      <c r="N12" s="2" t="s">
        <v>11</v>
      </c>
      <c r="O12" s="2" t="s">
        <v>13</v>
      </c>
      <c r="P12" s="2" t="s">
        <v>14</v>
      </c>
      <c r="Q12" s="2" t="s">
        <v>15</v>
      </c>
      <c r="R12" s="2" t="s">
        <v>16</v>
      </c>
      <c r="S12" s="2" t="s">
        <v>17</v>
      </c>
    </row>
    <row r="13" spans="4:19" ht="21">
      <c r="D13" s="2" t="s">
        <v>16</v>
      </c>
      <c r="E13" s="2" t="s">
        <v>9</v>
      </c>
      <c r="H13" s="26" t="s">
        <v>1</v>
      </c>
      <c r="I13" s="2" t="s">
        <v>3</v>
      </c>
      <c r="J13" s="2" t="s">
        <v>5</v>
      </c>
      <c r="K13" s="2" t="s">
        <v>7</v>
      </c>
      <c r="L13" s="2" t="s">
        <v>9</v>
      </c>
      <c r="M13" s="2" t="s">
        <v>7</v>
      </c>
      <c r="N13" s="2" t="s">
        <v>12</v>
      </c>
      <c r="O13" s="2" t="s">
        <v>3</v>
      </c>
      <c r="P13" s="2" t="s">
        <v>12</v>
      </c>
      <c r="Q13" s="2" t="s">
        <v>5</v>
      </c>
      <c r="R13" s="2" t="s">
        <v>9</v>
      </c>
      <c r="S13" s="2" t="s">
        <v>7</v>
      </c>
    </row>
    <row r="14" spans="4:19">
      <c r="D14" s="2" t="s">
        <v>17</v>
      </c>
      <c r="E14" s="2" t="s">
        <v>7</v>
      </c>
    </row>
  </sheetData>
  <conditionalFormatting sqref="D4:E4">
    <cfRule type="expression" dxfId="13" priority="5">
      <formula>OR($D2="Mumbai",$E2&gt;60000)</formula>
    </cfRule>
    <cfRule type="expression" dxfId="12" priority="6">
      <formula>OR(#REF!="Mumbai",#REF!&gt;60000)</formula>
    </cfRule>
  </conditionalFormatting>
  <conditionalFormatting sqref="D5:E14">
    <cfRule type="expression" dxfId="11" priority="7">
      <formula>OR(#REF!="Mumbai",#REF!&gt;60000)</formula>
    </cfRule>
    <cfRule type="expression" dxfId="10" priority="8">
      <formula>OR($D15="Mumbai",$E15&gt;60000)</formula>
    </cfRule>
  </conditionalFormatting>
  <conditionalFormatting sqref="I12:I13">
    <cfRule type="expression" dxfId="9" priority="1">
      <formula>OR($D10="Mumbai",$E10&gt;60000)</formula>
    </cfRule>
    <cfRule type="expression" dxfId="8" priority="2">
      <formula>OR(#REF!="Mumbai",#REF!&gt;60000)</formula>
    </cfRule>
  </conditionalFormatting>
  <conditionalFormatting sqref="J12:S13">
    <cfRule type="expression" dxfId="7" priority="3">
      <formula>OR(#REF!="Mumbai",#REF!&gt;60000)</formula>
    </cfRule>
    <cfRule type="expression" dxfId="6" priority="4">
      <formula>OR($D22="Mumbai",$E22&gt;60000)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9"/>
  <sheetViews>
    <sheetView workbookViewId="0">
      <selection activeCell="G20" sqref="G20"/>
    </sheetView>
  </sheetViews>
  <sheetFormatPr defaultColWidth="9.109375" defaultRowHeight="14.4"/>
  <cols>
    <col min="1" max="1" width="11" style="28" customWidth="1"/>
    <col min="2" max="2" width="5.33203125" style="33" customWidth="1"/>
    <col min="3" max="3" width="11.33203125" style="36" bestFit="1" customWidth="1"/>
    <col min="4" max="4" width="10.44140625" style="31" bestFit="1" customWidth="1"/>
    <col min="5" max="5" width="18.44140625" style="33" bestFit="1" customWidth="1"/>
    <col min="6" max="6" width="12.44140625" style="28" customWidth="1"/>
    <col min="7" max="7" width="12" customWidth="1"/>
    <col min="10" max="10" width="13.6640625" customWidth="1"/>
    <col min="11" max="11" width="11.33203125" customWidth="1"/>
  </cols>
  <sheetData>
    <row r="2" spans="1:18" ht="21">
      <c r="A2" s="29" t="s">
        <v>18</v>
      </c>
      <c r="B2" s="34" t="s">
        <v>19</v>
      </c>
      <c r="C2" s="37" t="s">
        <v>20</v>
      </c>
      <c r="D2" s="32" t="s">
        <v>21</v>
      </c>
      <c r="E2" s="34" t="s">
        <v>22</v>
      </c>
      <c r="F2" s="29" t="s">
        <v>0</v>
      </c>
      <c r="G2" s="40" t="s">
        <v>1</v>
      </c>
    </row>
    <row r="3" spans="1:18">
      <c r="A3" s="30" t="s">
        <v>23</v>
      </c>
      <c r="B3" s="35">
        <v>21</v>
      </c>
      <c r="C3" s="38">
        <v>25800</v>
      </c>
      <c r="D3" s="39">
        <f>C3*3%</f>
        <v>774</v>
      </c>
      <c r="E3" s="35">
        <v>2016</v>
      </c>
      <c r="F3" s="30" t="s">
        <v>2</v>
      </c>
      <c r="G3" s="41" t="str">
        <f>IFERROR(VLOOKUP(F3,City_and_State!$D$3:$E$14,2,FALSE),"Not found")</f>
        <v>Maharashtra</v>
      </c>
      <c r="J3" s="19" t="s">
        <v>24</v>
      </c>
      <c r="K3" s="19"/>
      <c r="L3" s="19"/>
      <c r="M3" s="19"/>
      <c r="N3" s="19"/>
      <c r="O3" s="19"/>
      <c r="P3" s="19"/>
      <c r="Q3" s="19"/>
      <c r="R3" s="19"/>
    </row>
    <row r="4" spans="1:18">
      <c r="A4" s="30" t="s">
        <v>25</v>
      </c>
      <c r="B4" s="35">
        <v>43</v>
      </c>
      <c r="C4" s="38">
        <v>73000</v>
      </c>
      <c r="D4" s="39">
        <f t="shared" ref="D4:D18" si="0">C4*3%</f>
        <v>2190</v>
      </c>
      <c r="E4" s="35">
        <v>2014</v>
      </c>
      <c r="F4" s="30" t="s">
        <v>4</v>
      </c>
      <c r="G4" s="41" t="str">
        <f>IFERROR(VLOOKUP(F4,City_and_State!$D$3:$E$14,2,FALSE),"Not found")</f>
        <v>Rajasthan</v>
      </c>
      <c r="J4" s="19" t="s">
        <v>26</v>
      </c>
      <c r="K4" s="19"/>
      <c r="L4" s="19"/>
      <c r="M4" s="19"/>
      <c r="N4" s="19"/>
      <c r="O4" s="19"/>
      <c r="P4" s="19"/>
      <c r="Q4" s="19"/>
      <c r="R4" s="19"/>
    </row>
    <row r="5" spans="1:18">
      <c r="A5" s="30" t="s">
        <v>27</v>
      </c>
      <c r="B5" s="35">
        <v>32</v>
      </c>
      <c r="C5" s="38">
        <v>54999</v>
      </c>
      <c r="D5" s="39">
        <f t="shared" si="0"/>
        <v>1649.97</v>
      </c>
      <c r="E5" s="35">
        <v>2016</v>
      </c>
      <c r="F5" s="30" t="s">
        <v>6</v>
      </c>
      <c r="G5" s="41" t="str">
        <f>IFERROR(VLOOKUP(F5,City_and_State!$D$3:$E$14,2,FALSE),"Not found")</f>
        <v>UP</v>
      </c>
      <c r="J5" s="19" t="s">
        <v>28</v>
      </c>
      <c r="K5" s="19"/>
      <c r="L5" s="19"/>
      <c r="M5" s="19"/>
      <c r="N5" s="19"/>
      <c r="O5" s="19"/>
      <c r="P5" s="19"/>
      <c r="Q5" s="19"/>
      <c r="R5" s="19"/>
    </row>
    <row r="6" spans="1:18">
      <c r="A6" s="30" t="s">
        <v>29</v>
      </c>
      <c r="B6" s="35">
        <v>24</v>
      </c>
      <c r="C6" s="38">
        <v>45969</v>
      </c>
      <c r="D6" s="39">
        <f t="shared" si="0"/>
        <v>1379.07</v>
      </c>
      <c r="E6" s="35">
        <v>2017</v>
      </c>
      <c r="F6" s="30" t="s">
        <v>8</v>
      </c>
      <c r="G6" s="41" t="str">
        <f>IFERROR(VLOOKUP(F6,City_and_State!$D$3:$E$14,2,FALSE),"Not found")</f>
        <v>Gujrat</v>
      </c>
      <c r="J6" s="19" t="s">
        <v>30</v>
      </c>
      <c r="K6" s="19"/>
      <c r="L6" s="19"/>
      <c r="M6" s="19"/>
      <c r="N6" s="19"/>
      <c r="O6" s="19"/>
      <c r="P6" s="19"/>
      <c r="Q6" s="19"/>
      <c r="R6" s="19"/>
    </row>
    <row r="7" spans="1:18">
      <c r="A7" s="30" t="s">
        <v>31</v>
      </c>
      <c r="B7" s="35">
        <v>43</v>
      </c>
      <c r="C7" s="38">
        <v>65999</v>
      </c>
      <c r="D7" s="39">
        <f t="shared" si="0"/>
        <v>1979.97</v>
      </c>
      <c r="E7" s="35">
        <v>2014</v>
      </c>
      <c r="F7" s="30" t="s">
        <v>10</v>
      </c>
      <c r="G7" s="41" t="str">
        <f>IFERROR(VLOOKUP(F7,City_and_State!$D$3:$E$14,2,FALSE),"Not found")</f>
        <v>UP</v>
      </c>
      <c r="J7" s="19" t="s">
        <v>32</v>
      </c>
      <c r="K7" s="19"/>
      <c r="L7" s="19"/>
      <c r="M7" s="19"/>
      <c r="N7" s="19"/>
      <c r="O7" s="19"/>
      <c r="P7" s="19" t="s">
        <v>33</v>
      </c>
      <c r="Q7" s="19"/>
      <c r="R7" s="19"/>
    </row>
    <row r="8" spans="1:18">
      <c r="A8" s="30" t="s">
        <v>34</v>
      </c>
      <c r="B8" s="35">
        <v>34</v>
      </c>
      <c r="C8" s="38">
        <v>85000</v>
      </c>
      <c r="D8" s="39">
        <f t="shared" si="0"/>
        <v>2550</v>
      </c>
      <c r="E8" s="35">
        <v>2016</v>
      </c>
      <c r="F8" s="30" t="s">
        <v>11</v>
      </c>
      <c r="G8" s="41" t="str">
        <f>IFERROR(VLOOKUP(F8,City_and_State!$D$3:$E$14,2,FALSE),"Not found")</f>
        <v>MP</v>
      </c>
      <c r="J8" s="19" t="s">
        <v>35</v>
      </c>
      <c r="K8" s="19"/>
      <c r="L8" s="19"/>
      <c r="M8" s="19"/>
      <c r="N8" s="19"/>
      <c r="O8" s="19"/>
      <c r="P8" s="19"/>
      <c r="Q8" s="19"/>
      <c r="R8" s="19"/>
    </row>
    <row r="9" spans="1:18">
      <c r="A9" s="30" t="s">
        <v>36</v>
      </c>
      <c r="B9" s="35">
        <v>32</v>
      </c>
      <c r="C9" s="38">
        <v>55869</v>
      </c>
      <c r="D9" s="39">
        <f t="shared" si="0"/>
        <v>1676.07</v>
      </c>
      <c r="E9" s="35">
        <v>2016</v>
      </c>
      <c r="F9" s="30" t="s">
        <v>2</v>
      </c>
      <c r="G9" s="41"/>
      <c r="K9" s="20" t="s">
        <v>37</v>
      </c>
      <c r="L9" s="20" t="s">
        <v>38</v>
      </c>
    </row>
    <row r="10" spans="1:18">
      <c r="A10" s="30" t="s">
        <v>39</v>
      </c>
      <c r="B10" s="35">
        <v>43</v>
      </c>
      <c r="C10" s="38">
        <v>58399</v>
      </c>
      <c r="D10" s="39">
        <f t="shared" si="0"/>
        <v>1751.97</v>
      </c>
      <c r="E10" s="35">
        <v>2014</v>
      </c>
      <c r="F10" s="30" t="s">
        <v>13</v>
      </c>
      <c r="G10" s="41" t="str">
        <f>IFERROR(VLOOKUP(F10,City_and_State!$D$3:$E$14,2,FALSE),"Not found")</f>
        <v>Maharashtra</v>
      </c>
      <c r="K10" s="21" t="s">
        <v>18</v>
      </c>
      <c r="L10" s="21" t="s">
        <v>40</v>
      </c>
    </row>
    <row r="11" spans="1:18">
      <c r="A11" s="30" t="s">
        <v>41</v>
      </c>
      <c r="B11" s="35">
        <v>23</v>
      </c>
      <c r="C11" s="38">
        <v>45858</v>
      </c>
      <c r="D11" s="39">
        <f t="shared" si="0"/>
        <v>1375.74</v>
      </c>
      <c r="E11" s="35">
        <v>2019</v>
      </c>
      <c r="F11" s="30" t="s">
        <v>14</v>
      </c>
      <c r="G11" s="41"/>
      <c r="K11" s="21" t="s">
        <v>42</v>
      </c>
      <c r="L11" s="21" t="s">
        <v>43</v>
      </c>
      <c r="M11" s="22" t="s">
        <v>44</v>
      </c>
    </row>
    <row r="12" spans="1:18">
      <c r="A12" s="30" t="s">
        <v>45</v>
      </c>
      <c r="B12" s="35">
        <v>25</v>
      </c>
      <c r="C12" s="38">
        <v>46899</v>
      </c>
      <c r="D12" s="39">
        <f t="shared" si="0"/>
        <v>1406.97</v>
      </c>
      <c r="E12" s="35">
        <v>2019</v>
      </c>
      <c r="F12" s="30" t="s">
        <v>11</v>
      </c>
      <c r="G12" s="41" t="str">
        <f>IFERROR(VLOOKUP(F12,City_and_State!$D$3:$E$14,2,FALSE),"Not found")</f>
        <v>MP</v>
      </c>
      <c r="K12" s="21" t="s">
        <v>20</v>
      </c>
      <c r="L12" s="21" t="s">
        <v>46</v>
      </c>
    </row>
    <row r="13" spans="1:18">
      <c r="A13" s="30" t="s">
        <v>47</v>
      </c>
      <c r="B13" s="35">
        <v>28</v>
      </c>
      <c r="C13" s="38">
        <v>23500</v>
      </c>
      <c r="D13" s="39">
        <f t="shared" si="0"/>
        <v>705</v>
      </c>
      <c r="E13" s="35">
        <v>2016</v>
      </c>
      <c r="F13" s="30" t="s">
        <v>15</v>
      </c>
      <c r="G13" s="41" t="str">
        <f>IFERROR(VLOOKUP(F13,City_and_State!$D$3:$E$14,2,FALSE),"Not found")</f>
        <v>Rajasthan</v>
      </c>
      <c r="K13" s="21" t="s">
        <v>48</v>
      </c>
      <c r="L13" s="21" t="s">
        <v>40</v>
      </c>
    </row>
    <row r="14" spans="1:18">
      <c r="A14" s="30" t="s">
        <v>49</v>
      </c>
      <c r="B14" s="35">
        <v>32</v>
      </c>
      <c r="C14" s="38">
        <v>38000</v>
      </c>
      <c r="D14" s="39">
        <f t="shared" si="0"/>
        <v>1140</v>
      </c>
      <c r="E14" s="35">
        <v>2014</v>
      </c>
      <c r="F14" s="30" t="s">
        <v>16</v>
      </c>
      <c r="G14" s="41" t="str">
        <f>IFERROR(VLOOKUP(F14,City_and_State!$D$3:$E$14,2,FALSE),"Not found")</f>
        <v>Gujrat</v>
      </c>
      <c r="K14" s="21" t="s">
        <v>1</v>
      </c>
      <c r="L14" s="21" t="s">
        <v>40</v>
      </c>
    </row>
    <row r="15" spans="1:18">
      <c r="A15" s="30" t="s">
        <v>50</v>
      </c>
      <c r="B15" s="35">
        <v>43</v>
      </c>
      <c r="C15" s="38">
        <v>28500</v>
      </c>
      <c r="D15" s="39">
        <f t="shared" si="0"/>
        <v>855</v>
      </c>
      <c r="E15" s="35">
        <v>2019</v>
      </c>
      <c r="F15" s="30" t="s">
        <v>8</v>
      </c>
      <c r="G15" s="41" t="str">
        <f>IFERROR(VLOOKUP(F15,City_and_State!$D$3:$E$14,2,FALSE),"Not found")</f>
        <v>Gujrat</v>
      </c>
    </row>
    <row r="16" spans="1:18">
      <c r="A16" s="30" t="s">
        <v>51</v>
      </c>
      <c r="B16" s="35">
        <v>20</v>
      </c>
      <c r="C16" s="38">
        <v>48800</v>
      </c>
      <c r="D16" s="39">
        <f t="shared" si="0"/>
        <v>1464</v>
      </c>
      <c r="E16" s="35">
        <v>2019</v>
      </c>
      <c r="F16" s="30" t="s">
        <v>17</v>
      </c>
      <c r="G16" s="41" t="str">
        <f>IFERROR(VLOOKUP(F16,City_and_State!$D$3:$E$14,2,FALSE),"Not found")</f>
        <v>UP</v>
      </c>
      <c r="J16" s="19" t="s">
        <v>52</v>
      </c>
      <c r="K16" s="19"/>
      <c r="L16" s="19"/>
      <c r="M16" s="19"/>
      <c r="N16" s="19"/>
      <c r="O16" s="19"/>
      <c r="P16" s="19"/>
      <c r="Q16" s="19"/>
      <c r="R16" s="19"/>
    </row>
    <row r="17" spans="1:18">
      <c r="A17" s="30" t="s">
        <v>53</v>
      </c>
      <c r="B17" s="35">
        <v>37</v>
      </c>
      <c r="C17" s="38">
        <v>57300</v>
      </c>
      <c r="D17" s="39">
        <f t="shared" si="0"/>
        <v>1719</v>
      </c>
      <c r="E17" s="35">
        <v>2014</v>
      </c>
      <c r="F17" s="30" t="s">
        <v>13</v>
      </c>
      <c r="G17" s="41" t="str">
        <f>IFERROR(VLOOKUP(F17,City_and_State!$D$3:$E$14,2,FALSE),"Not found")</f>
        <v>Maharashtra</v>
      </c>
      <c r="J17" s="19" t="s">
        <v>54</v>
      </c>
      <c r="K17" s="19"/>
      <c r="L17" s="19"/>
      <c r="M17" s="19"/>
      <c r="N17" s="19"/>
      <c r="O17" s="19"/>
      <c r="P17" s="19"/>
      <c r="Q17" s="19"/>
      <c r="R17" s="19"/>
    </row>
    <row r="18" spans="1:18">
      <c r="A18" s="30" t="s">
        <v>55</v>
      </c>
      <c r="B18" s="35">
        <v>19</v>
      </c>
      <c r="C18" s="38">
        <v>25000</v>
      </c>
      <c r="D18" s="39">
        <f t="shared" si="0"/>
        <v>750</v>
      </c>
      <c r="E18" s="35">
        <v>2015</v>
      </c>
      <c r="F18" s="30" t="s">
        <v>56</v>
      </c>
      <c r="G18" s="41" t="str">
        <f>IFERROR(VLOOKUP(F18,City_and_State!$D$3:$E$14,2,FALSE),"Not found")</f>
        <v>Not found</v>
      </c>
    </row>
    <row r="20" spans="1:18">
      <c r="J20" s="19" t="s">
        <v>57</v>
      </c>
      <c r="K20" s="19"/>
      <c r="L20" s="19"/>
      <c r="M20" s="19"/>
      <c r="N20" s="19"/>
      <c r="O20" s="19"/>
      <c r="P20" s="19"/>
      <c r="Q20" s="19"/>
      <c r="R20" s="19"/>
    </row>
    <row r="21" spans="1:18">
      <c r="J21" s="19" t="s">
        <v>58</v>
      </c>
      <c r="K21" s="19"/>
      <c r="L21" s="19"/>
      <c r="M21" s="19"/>
      <c r="N21" s="19"/>
      <c r="O21" s="19"/>
      <c r="P21" s="19"/>
      <c r="Q21" s="19"/>
      <c r="R21" s="19"/>
    </row>
    <row r="23" spans="1:18">
      <c r="J23" t="s">
        <v>59</v>
      </c>
    </row>
    <row r="24" spans="1:18" ht="18">
      <c r="J24" s="25" t="s">
        <v>18</v>
      </c>
      <c r="K24" s="24" t="s">
        <v>34</v>
      </c>
    </row>
    <row r="26" spans="1:18" ht="18">
      <c r="J26" s="25" t="s">
        <v>19</v>
      </c>
      <c r="K26" s="24">
        <f>VLOOKUP(K24,A3:F18,2,FALSE)</f>
        <v>34</v>
      </c>
    </row>
    <row r="27" spans="1:18" ht="18">
      <c r="J27" s="25" t="s">
        <v>20</v>
      </c>
      <c r="K27" s="24">
        <f>VLOOKUP("Gitesh",A3:G18,3,FALSE)</f>
        <v>85000</v>
      </c>
    </row>
    <row r="28" spans="1:18" ht="18">
      <c r="J28" s="25" t="s">
        <v>0</v>
      </c>
      <c r="K28" s="24" t="str">
        <f>VLOOKUP("Gitesh",A3:G18,6,FALSE)</f>
        <v>Indore</v>
      </c>
    </row>
    <row r="29" spans="1:18" ht="18">
      <c r="J29" s="25" t="s">
        <v>60</v>
      </c>
      <c r="K29" s="24">
        <f>VLOOKUP("Gitesh",A3:G18,5,FALSE)</f>
        <v>2016</v>
      </c>
    </row>
  </sheetData>
  <conditionalFormatting sqref="A2:G18">
    <cfRule type="expression" dxfId="0" priority="1">
      <formula>$B2&lt;30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abSelected="1" workbookViewId="0">
      <selection activeCell="I20" sqref="I20"/>
    </sheetView>
  </sheetViews>
  <sheetFormatPr defaultColWidth="9.109375" defaultRowHeight="14.4"/>
  <cols>
    <col min="1" max="1" width="15.5546875" bestFit="1" customWidth="1"/>
    <col min="2" max="15" width="11.33203125" bestFit="1" customWidth="1"/>
    <col min="16" max="16" width="11.5546875" bestFit="1" customWidth="1"/>
  </cols>
  <sheetData>
    <row r="1" spans="1:16" s="28" customFormat="1" ht="18">
      <c r="A1" s="43" t="s">
        <v>18</v>
      </c>
      <c r="B1" s="30" t="s">
        <v>23</v>
      </c>
      <c r="C1" s="30" t="s">
        <v>25</v>
      </c>
      <c r="D1" s="30" t="s">
        <v>27</v>
      </c>
      <c r="E1" s="30" t="s">
        <v>29</v>
      </c>
      <c r="F1" s="30" t="s">
        <v>31</v>
      </c>
      <c r="G1" s="30" t="s">
        <v>34</v>
      </c>
      <c r="H1" s="30" t="s">
        <v>36</v>
      </c>
      <c r="I1" s="30" t="s">
        <v>39</v>
      </c>
      <c r="J1" s="30" t="s">
        <v>41</v>
      </c>
      <c r="K1" s="30" t="s">
        <v>45</v>
      </c>
      <c r="L1" s="30" t="s">
        <v>47</v>
      </c>
      <c r="M1" s="30" t="s">
        <v>49</v>
      </c>
      <c r="N1" s="30" t="s">
        <v>50</v>
      </c>
      <c r="O1" s="30" t="s">
        <v>51</v>
      </c>
      <c r="P1" s="30" t="s">
        <v>53</v>
      </c>
    </row>
    <row r="2" spans="1:16" s="33" customFormat="1" ht="18">
      <c r="A2" s="44" t="s">
        <v>19</v>
      </c>
      <c r="B2" s="35">
        <v>21</v>
      </c>
      <c r="C2" s="35">
        <v>43</v>
      </c>
      <c r="D2" s="35">
        <v>32</v>
      </c>
      <c r="E2" s="35">
        <v>24</v>
      </c>
      <c r="F2" s="35">
        <v>43</v>
      </c>
      <c r="G2" s="35">
        <v>34</v>
      </c>
      <c r="H2" s="35">
        <v>32</v>
      </c>
      <c r="I2" s="35">
        <v>43</v>
      </c>
      <c r="J2" s="35">
        <v>23</v>
      </c>
      <c r="K2" s="35">
        <v>25</v>
      </c>
      <c r="L2" s="35">
        <v>28</v>
      </c>
      <c r="M2" s="35">
        <v>32</v>
      </c>
      <c r="N2" s="35">
        <v>43</v>
      </c>
      <c r="O2" s="35">
        <v>20</v>
      </c>
      <c r="P2" s="35">
        <v>37</v>
      </c>
    </row>
    <row r="3" spans="1:16" s="36" customFormat="1" ht="18">
      <c r="A3" s="45" t="s">
        <v>20</v>
      </c>
      <c r="B3" s="38">
        <v>25800</v>
      </c>
      <c r="C3" s="38">
        <v>73000</v>
      </c>
      <c r="D3" s="38">
        <v>54999</v>
      </c>
      <c r="E3" s="38">
        <v>45969</v>
      </c>
      <c r="F3" s="38">
        <v>65999</v>
      </c>
      <c r="G3" s="38">
        <v>85000</v>
      </c>
      <c r="H3" s="38">
        <v>55869</v>
      </c>
      <c r="I3" s="38">
        <v>58399</v>
      </c>
      <c r="J3" s="38">
        <v>45858</v>
      </c>
      <c r="K3" s="38">
        <v>46899</v>
      </c>
      <c r="L3" s="38">
        <v>23500</v>
      </c>
      <c r="M3" s="38">
        <v>38000</v>
      </c>
      <c r="N3" s="38">
        <v>28500</v>
      </c>
      <c r="O3" s="38">
        <v>48800</v>
      </c>
      <c r="P3" s="38">
        <v>57300</v>
      </c>
    </row>
    <row r="4" spans="1:16" ht="18">
      <c r="A4" s="42" t="s">
        <v>22</v>
      </c>
      <c r="B4" s="27">
        <v>2016</v>
      </c>
      <c r="C4" s="27">
        <v>2014</v>
      </c>
      <c r="D4" s="27">
        <v>2016</v>
      </c>
      <c r="E4" s="27">
        <v>2017</v>
      </c>
      <c r="F4" s="27">
        <v>2014</v>
      </c>
      <c r="G4" s="27">
        <v>2016</v>
      </c>
      <c r="H4" s="27">
        <v>2016</v>
      </c>
      <c r="I4" s="27">
        <v>2014</v>
      </c>
      <c r="J4" s="27">
        <v>2019</v>
      </c>
      <c r="K4" s="27">
        <v>2019</v>
      </c>
      <c r="L4" s="27">
        <v>2016</v>
      </c>
      <c r="M4" s="27">
        <v>2014</v>
      </c>
      <c r="N4" s="27">
        <v>2019</v>
      </c>
      <c r="O4" s="27">
        <v>2019</v>
      </c>
      <c r="P4" s="27">
        <v>2014</v>
      </c>
    </row>
    <row r="5" spans="1:16" s="28" customFormat="1" ht="18">
      <c r="A5" s="43" t="s">
        <v>0</v>
      </c>
      <c r="B5" s="30" t="s">
        <v>2</v>
      </c>
      <c r="C5" s="30" t="s">
        <v>4</v>
      </c>
      <c r="D5" s="30" t="s">
        <v>6</v>
      </c>
      <c r="E5" s="30" t="s">
        <v>8</v>
      </c>
      <c r="F5" s="30" t="s">
        <v>10</v>
      </c>
      <c r="G5" s="30" t="s">
        <v>11</v>
      </c>
      <c r="H5" s="30" t="s">
        <v>2</v>
      </c>
      <c r="I5" s="30" t="s">
        <v>13</v>
      </c>
      <c r="J5" s="30" t="s">
        <v>14</v>
      </c>
      <c r="K5" s="30" t="s">
        <v>11</v>
      </c>
      <c r="L5" s="30" t="s">
        <v>15</v>
      </c>
      <c r="M5" s="30" t="s">
        <v>16</v>
      </c>
      <c r="N5" s="30" t="s">
        <v>8</v>
      </c>
      <c r="O5" s="30" t="s">
        <v>17</v>
      </c>
      <c r="P5" s="30" t="s">
        <v>13</v>
      </c>
    </row>
    <row r="6" spans="1:16" s="28" customFormat="1" ht="18">
      <c r="A6" s="43" t="s">
        <v>1</v>
      </c>
      <c r="B6" s="30" t="str">
        <f>IFERROR(HLOOKUP(B5,City_and_State!$H$12:$S$13,2,FALSE),"Not Fund")</f>
        <v>Maharashtra</v>
      </c>
      <c r="C6" s="30" t="str">
        <f>IFERROR(HLOOKUP(C5,City_and_State!$H$12:$S$13,2,FALSE),"Not Fund")</f>
        <v>Rajasthan</v>
      </c>
      <c r="D6" s="30" t="str">
        <f>IFERROR(HLOOKUP(D5,City_and_State!$H$12:$S$13,2,FALSE),"Not Fund")</f>
        <v>UP</v>
      </c>
      <c r="E6" s="30" t="str">
        <f>IFERROR(HLOOKUP(E5,City_and_State!$H$12:$S$13,2,FALSE),"Not Fund")</f>
        <v>Gujrat</v>
      </c>
      <c r="F6" s="30" t="str">
        <f>IFERROR(HLOOKUP(F5,City_and_State!$H$12:$S$13,2,FALSE),"Not Fund")</f>
        <v>UP</v>
      </c>
      <c r="G6" s="30" t="str">
        <f>IFERROR(HLOOKUP(G5,City_and_State!$H$12:$S$13,2,FALSE),"Not Fund")</f>
        <v>MP</v>
      </c>
      <c r="H6" s="30" t="str">
        <f>IFERROR(HLOOKUP(H5,City_and_State!$H$12:$S$13,2,FALSE),"Not Fund")</f>
        <v>Maharashtra</v>
      </c>
      <c r="I6" s="30" t="str">
        <f>IFERROR(HLOOKUP(I5,City_and_State!$H$12:$S$13,2,FALSE),"Not Fund")</f>
        <v>Maharashtra</v>
      </c>
      <c r="J6" s="30" t="str">
        <f>IFERROR(HLOOKUP(J5,City_and_State!$H$12:$S$13,2,FALSE),"Not Fund")</f>
        <v>MP</v>
      </c>
      <c r="K6" s="30" t="str">
        <f>IFERROR(HLOOKUP(K5,City_and_State!$H$12:$S$13,2,FALSE),"Not Fund")</f>
        <v>MP</v>
      </c>
      <c r="L6" s="30" t="str">
        <f>IFERROR(HLOOKUP(L5,City_and_State!$H$12:$S$13,2,FALSE),"Not Fund")</f>
        <v>Rajasthan</v>
      </c>
      <c r="M6" s="30" t="str">
        <f>IFERROR(HLOOKUP(M5,City_and_State!$H$12:$S$13,2,FALSE),"Not Fund")</f>
        <v>Gujrat</v>
      </c>
      <c r="N6" s="30" t="str">
        <f>IFERROR(HLOOKUP(N5,City_and_State!$H$12:$S$13,2,FALSE),"Not Fund")</f>
        <v>Gujrat</v>
      </c>
      <c r="O6" s="30" t="str">
        <f>IFERROR(HLOOKUP(O5,City_and_State!$H$12:$S$13,2,FALSE),"Not Fund")</f>
        <v>UP</v>
      </c>
      <c r="P6" s="30" t="str">
        <f>IFERROR(HLOOKUP(P5,City_and_State!$H$12:$S$13,2,FALSE),"Not Fund")</f>
        <v>Maharashtra</v>
      </c>
    </row>
    <row r="8" spans="1:16">
      <c r="B8" s="19" t="s">
        <v>61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6">
      <c r="B9" s="19" t="s">
        <v>62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6">
      <c r="B10" s="19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6">
      <c r="B11" s="19" t="s">
        <v>64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3" spans="1:16">
      <c r="B13" s="19" t="s">
        <v>65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6">
      <c r="B14" s="19" t="s">
        <v>66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6">
      <c r="B15" s="19" t="s">
        <v>67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6">
      <c r="B16" s="19" t="s">
        <v>35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2:13">
      <c r="C17" s="20" t="s">
        <v>37</v>
      </c>
      <c r="D17" s="20" t="s">
        <v>38</v>
      </c>
    </row>
    <row r="18" spans="2:13">
      <c r="C18" s="21" t="s">
        <v>18</v>
      </c>
      <c r="D18" s="21" t="s">
        <v>40</v>
      </c>
    </row>
    <row r="19" spans="2:13">
      <c r="C19" s="21" t="s">
        <v>42</v>
      </c>
      <c r="D19" s="21" t="s">
        <v>43</v>
      </c>
      <c r="E19" s="22" t="s">
        <v>44</v>
      </c>
    </row>
    <row r="20" spans="2:13">
      <c r="C20" s="21" t="s">
        <v>20</v>
      </c>
      <c r="D20" s="21" t="s">
        <v>46</v>
      </c>
    </row>
    <row r="21" spans="2:13">
      <c r="C21" s="21" t="s">
        <v>48</v>
      </c>
      <c r="D21" s="21" t="s">
        <v>40</v>
      </c>
    </row>
    <row r="22" spans="2:13">
      <c r="C22" s="21" t="s">
        <v>1</v>
      </c>
      <c r="D22" s="21" t="s">
        <v>40</v>
      </c>
    </row>
    <row r="24" spans="2:13">
      <c r="B24" s="19" t="s">
        <v>68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6" spans="2:13">
      <c r="B26" t="s">
        <v>69</v>
      </c>
    </row>
    <row r="27" spans="2:13" ht="18">
      <c r="B27" s="23" t="s">
        <v>18</v>
      </c>
      <c r="C27" s="24" t="s">
        <v>34</v>
      </c>
    </row>
    <row r="29" spans="2:13" ht="18">
      <c r="B29" s="23" t="s">
        <v>19</v>
      </c>
      <c r="C29" s="24">
        <f>HLOOKUP(C27,B1:P5,2,0)</f>
        <v>34</v>
      </c>
    </row>
    <row r="30" spans="2:13" ht="18">
      <c r="B30" s="23" t="s">
        <v>20</v>
      </c>
      <c r="C30" s="24">
        <f>HLOOKUP(C27,Employee_2,3,FALSE)</f>
        <v>85000</v>
      </c>
    </row>
    <row r="31" spans="2:13" ht="18.75" customHeight="1">
      <c r="B31" s="23" t="s">
        <v>0</v>
      </c>
      <c r="C31" s="24" t="str">
        <f>HLOOKUP(C27,Employee_2,5,FALSE)</f>
        <v>Indore</v>
      </c>
    </row>
    <row r="32" spans="2:13">
      <c r="B32" s="62" t="s">
        <v>60</v>
      </c>
      <c r="C32" s="63">
        <f>HLOOKUP(Hookup!C27,Employee_2,4,FALSE)</f>
        <v>2016</v>
      </c>
    </row>
    <row r="33" spans="2:3">
      <c r="B33" s="62"/>
      <c r="C33" s="63"/>
    </row>
  </sheetData>
  <mergeCells count="2">
    <mergeCell ref="B32:B33"/>
    <mergeCell ref="C32:C33"/>
  </mergeCells>
  <conditionalFormatting sqref="A2:XFD2">
    <cfRule type="cellIs" dxfId="5" priority="1" operator="lessThan">
      <formula>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B3" sqref="B3"/>
    </sheetView>
  </sheetViews>
  <sheetFormatPr defaultColWidth="9.109375" defaultRowHeight="14.4"/>
  <cols>
    <col min="1" max="1" width="18" customWidth="1"/>
    <col min="2" max="5" width="21.6640625"/>
  </cols>
  <sheetData>
    <row r="1" spans="1:5" ht="25.8">
      <c r="A1" s="64" t="s">
        <v>79</v>
      </c>
      <c r="B1" s="64"/>
      <c r="C1" s="64"/>
      <c r="D1" s="64"/>
      <c r="E1" s="64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200000</v>
      </c>
      <c r="C3" s="3">
        <v>200005</v>
      </c>
      <c r="D3" s="3">
        <v>400000</v>
      </c>
      <c r="E3" s="3">
        <v>420000</v>
      </c>
    </row>
    <row r="4" spans="1:5" ht="23.4">
      <c r="A4" s="1" t="s">
        <v>86</v>
      </c>
      <c r="B4" s="3">
        <v>300000</v>
      </c>
      <c r="C4" s="3">
        <v>350000</v>
      </c>
      <c r="D4" s="3">
        <v>200000</v>
      </c>
      <c r="E4" s="3">
        <v>500000</v>
      </c>
    </row>
    <row r="5" spans="1:5" ht="23.4">
      <c r="A5" s="1" t="s">
        <v>87</v>
      </c>
      <c r="B5" s="3">
        <v>120000</v>
      </c>
      <c r="C5" s="3">
        <v>120001</v>
      </c>
      <c r="D5" s="3">
        <v>150000</v>
      </c>
      <c r="E5" s="3">
        <v>160003</v>
      </c>
    </row>
    <row r="6" spans="1:5" ht="23.4">
      <c r="A6" s="1" t="s">
        <v>88</v>
      </c>
      <c r="B6" s="3">
        <v>40000</v>
      </c>
      <c r="C6" s="3">
        <v>50001</v>
      </c>
      <c r="D6" s="3">
        <v>40006</v>
      </c>
      <c r="E6" s="3">
        <v>60007</v>
      </c>
    </row>
    <row r="7" spans="1:5" ht="23.4">
      <c r="A7" s="1" t="s">
        <v>89</v>
      </c>
      <c r="B7" s="3">
        <v>90000</v>
      </c>
      <c r="C7" s="3">
        <v>100001</v>
      </c>
      <c r="D7" s="3">
        <v>80002</v>
      </c>
      <c r="E7" s="3">
        <v>85003</v>
      </c>
    </row>
    <row r="8" spans="1:5" ht="23.4">
      <c r="A8" s="1" t="s">
        <v>90</v>
      </c>
      <c r="B8" s="3">
        <v>23000</v>
      </c>
      <c r="C8" s="3">
        <v>25001</v>
      </c>
      <c r="D8" s="3">
        <v>25002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C14" sqref="C14"/>
    </sheetView>
  </sheetViews>
  <sheetFormatPr defaultColWidth="9.109375" defaultRowHeight="14.4"/>
  <cols>
    <col min="1" max="5" width="20.88671875" customWidth="1"/>
  </cols>
  <sheetData>
    <row r="1" spans="1:5" ht="25.8">
      <c r="A1" s="64" t="s">
        <v>91</v>
      </c>
      <c r="B1" s="64"/>
      <c r="C1" s="64"/>
      <c r="D1" s="64"/>
      <c r="E1" s="64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</row>
    <row r="4" spans="1:5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</row>
    <row r="5" spans="1:5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</row>
    <row r="6" spans="1:5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</row>
    <row r="7" spans="1:5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5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7"/>
  <sheetViews>
    <sheetView topLeftCell="A17" workbookViewId="0">
      <selection activeCell="H30" sqref="H30"/>
    </sheetView>
  </sheetViews>
  <sheetFormatPr defaultColWidth="9.109375" defaultRowHeight="14.4"/>
  <cols>
    <col min="2" max="2" width="12.88671875" style="5" customWidth="1"/>
    <col min="3" max="3" width="18.88671875" style="6" customWidth="1"/>
    <col min="4" max="4" width="11.109375" customWidth="1"/>
    <col min="8" max="8" width="14.44140625" customWidth="1"/>
    <col min="9" max="9" width="15" customWidth="1"/>
    <col min="10" max="10" width="19.109375" customWidth="1"/>
    <col min="11" max="11" width="12.88671875" customWidth="1"/>
    <col min="12" max="12" width="12.109375" customWidth="1"/>
    <col min="13" max="13" width="11.88671875" customWidth="1"/>
    <col min="14" max="14" width="10.5546875" customWidth="1"/>
  </cols>
  <sheetData>
    <row r="2" spans="2:11" ht="23.4">
      <c r="B2" s="7" t="s">
        <v>70</v>
      </c>
      <c r="C2" s="46" t="s">
        <v>71</v>
      </c>
      <c r="D2" s="9" t="s">
        <v>72</v>
      </c>
      <c r="H2" s="67" t="s">
        <v>70</v>
      </c>
      <c r="I2" s="67"/>
      <c r="J2" s="65" t="s">
        <v>71</v>
      </c>
      <c r="K2" s="65" t="s">
        <v>72</v>
      </c>
    </row>
    <row r="3" spans="2:11" ht="18">
      <c r="B3" s="10">
        <v>100000</v>
      </c>
      <c r="C3" s="47">
        <f>VLOOKUP(B3,$H$4:$K$8,3,TRUE)</f>
        <v>0.02</v>
      </c>
      <c r="D3" s="11">
        <f>VLOOKUP(B3,$H$4:$K$8,4,TRUE)</f>
        <v>1</v>
      </c>
      <c r="H3" s="12" t="s">
        <v>73</v>
      </c>
      <c r="I3" s="12" t="s">
        <v>74</v>
      </c>
      <c r="J3" s="66"/>
      <c r="K3" s="66"/>
    </row>
    <row r="4" spans="2:11" ht="15.6">
      <c r="B4" s="10">
        <v>120000</v>
      </c>
      <c r="C4" s="47">
        <f t="shared" ref="C4:C18" si="0">VLOOKUP(B4,$H$4:$K$8,3,TRUE)</f>
        <v>0.04</v>
      </c>
      <c r="D4" s="11">
        <f t="shared" ref="D4:D18" si="1">VLOOKUP(B4,$H$4:$K$8,4,TRUE)</f>
        <v>2</v>
      </c>
      <c r="H4" s="13">
        <v>10000</v>
      </c>
      <c r="I4" s="13">
        <v>100000</v>
      </c>
      <c r="J4" s="17">
        <v>0.02</v>
      </c>
      <c r="K4" s="18">
        <v>1</v>
      </c>
    </row>
    <row r="5" spans="2:11" ht="15.6">
      <c r="B5" s="10">
        <v>50000</v>
      </c>
      <c r="C5" s="47">
        <f t="shared" si="0"/>
        <v>0.02</v>
      </c>
      <c r="D5" s="11">
        <f t="shared" si="1"/>
        <v>1</v>
      </c>
      <c r="H5" s="13">
        <v>100001</v>
      </c>
      <c r="I5" s="13">
        <v>200000</v>
      </c>
      <c r="J5" s="17">
        <v>0.04</v>
      </c>
      <c r="K5" s="18">
        <v>2</v>
      </c>
    </row>
    <row r="6" spans="2:11" ht="15.6">
      <c r="B6" s="10">
        <v>90000</v>
      </c>
      <c r="C6" s="47">
        <f t="shared" si="0"/>
        <v>0.02</v>
      </c>
      <c r="D6" s="11">
        <f t="shared" si="1"/>
        <v>1</v>
      </c>
      <c r="H6" s="13">
        <v>200001</v>
      </c>
      <c r="I6" s="13">
        <v>300000</v>
      </c>
      <c r="J6" s="17">
        <v>0.06</v>
      </c>
      <c r="K6" s="18">
        <v>3</v>
      </c>
    </row>
    <row r="7" spans="2:11" ht="15.6">
      <c r="B7" s="10">
        <v>800000</v>
      </c>
      <c r="C7" s="47">
        <f t="shared" si="0"/>
        <v>0.1</v>
      </c>
      <c r="D7" s="11">
        <f t="shared" si="1"/>
        <v>5</v>
      </c>
      <c r="H7" s="13">
        <v>300001</v>
      </c>
      <c r="I7" s="13">
        <v>400000</v>
      </c>
      <c r="J7" s="17">
        <v>0.08</v>
      </c>
      <c r="K7" s="18">
        <v>4</v>
      </c>
    </row>
    <row r="8" spans="2:11" ht="15.6">
      <c r="B8" s="10">
        <v>200000</v>
      </c>
      <c r="C8" s="47">
        <f t="shared" si="0"/>
        <v>0.04</v>
      </c>
      <c r="D8" s="11">
        <f t="shared" si="1"/>
        <v>2</v>
      </c>
      <c r="H8" s="13">
        <v>400001</v>
      </c>
      <c r="I8" s="13" t="s">
        <v>75</v>
      </c>
      <c r="J8" s="17">
        <v>0.1</v>
      </c>
      <c r="K8" s="18">
        <v>5</v>
      </c>
    </row>
    <row r="9" spans="2:11" ht="15.6">
      <c r="B9" s="10">
        <v>80000</v>
      </c>
      <c r="C9" s="47">
        <f t="shared" si="0"/>
        <v>0.02</v>
      </c>
      <c r="D9" s="11">
        <f t="shared" si="1"/>
        <v>1</v>
      </c>
    </row>
    <row r="10" spans="2:11" ht="15.6">
      <c r="B10" s="10">
        <v>90000</v>
      </c>
      <c r="C10" s="47">
        <f t="shared" si="0"/>
        <v>0.02</v>
      </c>
      <c r="D10" s="11">
        <f t="shared" si="1"/>
        <v>1</v>
      </c>
    </row>
    <row r="11" spans="2:11" ht="15.6">
      <c r="B11" s="10">
        <v>400000</v>
      </c>
      <c r="C11" s="47">
        <f t="shared" si="0"/>
        <v>0.08</v>
      </c>
      <c r="D11" s="11">
        <f t="shared" si="1"/>
        <v>4</v>
      </c>
      <c r="H11" t="s">
        <v>76</v>
      </c>
    </row>
    <row r="12" spans="2:11" ht="15.6">
      <c r="B12" s="10">
        <v>300000</v>
      </c>
      <c r="C12" s="47">
        <f t="shared" si="0"/>
        <v>0.06</v>
      </c>
      <c r="D12" s="11">
        <f t="shared" si="1"/>
        <v>3</v>
      </c>
      <c r="H12" t="s">
        <v>77</v>
      </c>
    </row>
    <row r="13" spans="2:11" ht="15.6">
      <c r="B13" s="10">
        <v>450000</v>
      </c>
      <c r="C13" s="47">
        <f t="shared" si="0"/>
        <v>0.1</v>
      </c>
      <c r="D13" s="11">
        <f t="shared" si="1"/>
        <v>5</v>
      </c>
    </row>
    <row r="14" spans="2:11" ht="15.6">
      <c r="B14" s="10">
        <v>300000</v>
      </c>
      <c r="C14" s="47">
        <f t="shared" si="0"/>
        <v>0.06</v>
      </c>
      <c r="D14" s="11">
        <f t="shared" si="1"/>
        <v>3</v>
      </c>
    </row>
    <row r="15" spans="2:11" ht="15.6">
      <c r="B15" s="10">
        <v>400000</v>
      </c>
      <c r="C15" s="47">
        <f t="shared" si="0"/>
        <v>0.08</v>
      </c>
      <c r="D15" s="11">
        <f t="shared" si="1"/>
        <v>4</v>
      </c>
    </row>
    <row r="16" spans="2:11" ht="15.6">
      <c r="B16" s="10">
        <v>500000</v>
      </c>
      <c r="C16" s="47">
        <f t="shared" si="0"/>
        <v>0.1</v>
      </c>
      <c r="D16" s="11">
        <f t="shared" si="1"/>
        <v>5</v>
      </c>
    </row>
    <row r="17" spans="2:14" ht="15.6">
      <c r="B17" s="10">
        <v>900000</v>
      </c>
      <c r="C17" s="47">
        <f t="shared" si="0"/>
        <v>0.1</v>
      </c>
      <c r="D17" s="11">
        <f t="shared" si="1"/>
        <v>5</v>
      </c>
    </row>
    <row r="18" spans="2:14" ht="15.6">
      <c r="B18" s="14">
        <v>400000</v>
      </c>
      <c r="C18" s="47">
        <f t="shared" si="0"/>
        <v>0.08</v>
      </c>
      <c r="D18" s="11">
        <f t="shared" si="1"/>
        <v>4</v>
      </c>
    </row>
    <row r="19" spans="2:14" ht="15.6">
      <c r="C19" s="15"/>
      <c r="D19" s="16"/>
    </row>
    <row r="21" spans="2:14" ht="23.4">
      <c r="B21" s="7" t="s">
        <v>70</v>
      </c>
      <c r="C21" s="8" t="s">
        <v>71</v>
      </c>
      <c r="D21" s="9" t="s">
        <v>72</v>
      </c>
      <c r="H21" s="67" t="s">
        <v>70</v>
      </c>
      <c r="I21" s="12" t="s">
        <v>73</v>
      </c>
      <c r="J21" s="13">
        <v>10000</v>
      </c>
      <c r="K21" s="13">
        <v>100001</v>
      </c>
      <c r="L21" s="13">
        <v>200001</v>
      </c>
      <c r="M21" s="13">
        <v>300001</v>
      </c>
      <c r="N21" s="13">
        <v>400001</v>
      </c>
    </row>
    <row r="22" spans="2:14" ht="18">
      <c r="B22" s="10">
        <v>100000</v>
      </c>
      <c r="C22" s="47">
        <f>HLOOKUP(B22,$J$21:$N$24,3,TRUE)</f>
        <v>0.02</v>
      </c>
      <c r="D22" s="11">
        <f>HLOOKUP(B22,$J$21:$N$24,4,TRUE)</f>
        <v>1</v>
      </c>
      <c r="H22" s="67"/>
      <c r="I22" s="12" t="s">
        <v>74</v>
      </c>
      <c r="J22" s="13">
        <v>100000</v>
      </c>
      <c r="K22" s="13">
        <v>200000</v>
      </c>
      <c r="L22" s="13">
        <v>300000</v>
      </c>
      <c r="M22" s="13">
        <v>400000</v>
      </c>
      <c r="N22" s="13" t="s">
        <v>75</v>
      </c>
    </row>
    <row r="23" spans="2:14" ht="18">
      <c r="B23" s="10">
        <v>120000</v>
      </c>
      <c r="C23" s="47">
        <f t="shared" ref="C23:C37" si="2">HLOOKUP(B23,$J$21:$N$24,3,TRUE)</f>
        <v>0.04</v>
      </c>
      <c r="D23" s="11">
        <f t="shared" ref="D23:D37" si="3">HLOOKUP(B23,$J$21:$N$24,4,TRUE)</f>
        <v>2</v>
      </c>
      <c r="H23" s="65" t="s">
        <v>71</v>
      </c>
      <c r="I23" s="66"/>
      <c r="J23" s="17">
        <v>0.02</v>
      </c>
      <c r="K23" s="17">
        <v>0.04</v>
      </c>
      <c r="L23" s="17">
        <v>0.06</v>
      </c>
      <c r="M23" s="17">
        <v>0.08</v>
      </c>
      <c r="N23" s="17">
        <v>0.1</v>
      </c>
    </row>
    <row r="24" spans="2:14" ht="18">
      <c r="B24" s="10">
        <v>50000</v>
      </c>
      <c r="C24" s="47">
        <f t="shared" si="2"/>
        <v>0.02</v>
      </c>
      <c r="D24" s="11">
        <f t="shared" si="3"/>
        <v>1</v>
      </c>
      <c r="H24" s="65" t="s">
        <v>72</v>
      </c>
      <c r="I24" s="66"/>
      <c r="J24" s="18">
        <v>1</v>
      </c>
      <c r="K24" s="18">
        <v>2</v>
      </c>
      <c r="L24" s="18">
        <v>3</v>
      </c>
      <c r="M24" s="18">
        <v>4</v>
      </c>
      <c r="N24" s="18">
        <v>5</v>
      </c>
    </row>
    <row r="25" spans="2:14" ht="15.6">
      <c r="B25" s="10">
        <v>90000</v>
      </c>
      <c r="C25" s="47">
        <f t="shared" si="2"/>
        <v>0.02</v>
      </c>
      <c r="D25" s="11">
        <f t="shared" si="3"/>
        <v>1</v>
      </c>
    </row>
    <row r="26" spans="2:14" ht="15.6">
      <c r="B26" s="10">
        <v>800000</v>
      </c>
      <c r="C26" s="47">
        <f t="shared" si="2"/>
        <v>0.1</v>
      </c>
      <c r="D26" s="11">
        <f t="shared" si="3"/>
        <v>5</v>
      </c>
    </row>
    <row r="27" spans="2:14" ht="15.6">
      <c r="B27" s="10">
        <v>200000</v>
      </c>
      <c r="C27" s="47">
        <f t="shared" si="2"/>
        <v>0.04</v>
      </c>
      <c r="D27" s="11">
        <f t="shared" si="3"/>
        <v>2</v>
      </c>
      <c r="H27" t="s">
        <v>78</v>
      </c>
    </row>
    <row r="28" spans="2:14" ht="15.6">
      <c r="B28" s="10">
        <v>80000</v>
      </c>
      <c r="C28" s="47">
        <f t="shared" si="2"/>
        <v>0.02</v>
      </c>
      <c r="D28" s="11">
        <f t="shared" si="3"/>
        <v>1</v>
      </c>
    </row>
    <row r="29" spans="2:14" ht="15.6">
      <c r="B29" s="10">
        <v>90000</v>
      </c>
      <c r="C29" s="47">
        <f t="shared" si="2"/>
        <v>0.02</v>
      </c>
      <c r="D29" s="11">
        <f t="shared" si="3"/>
        <v>1</v>
      </c>
    </row>
    <row r="30" spans="2:14" ht="15.6">
      <c r="B30" s="10">
        <v>400000</v>
      </c>
      <c r="C30" s="47">
        <f t="shared" si="2"/>
        <v>0.08</v>
      </c>
      <c r="D30" s="11">
        <f t="shared" si="3"/>
        <v>4</v>
      </c>
    </row>
    <row r="31" spans="2:14" ht="15.6">
      <c r="B31" s="10">
        <v>300000</v>
      </c>
      <c r="C31" s="47">
        <f t="shared" si="2"/>
        <v>0.06</v>
      </c>
      <c r="D31" s="11">
        <f t="shared" si="3"/>
        <v>3</v>
      </c>
    </row>
    <row r="32" spans="2:14" ht="15.6">
      <c r="B32" s="10">
        <v>450000</v>
      </c>
      <c r="C32" s="47">
        <f t="shared" si="2"/>
        <v>0.1</v>
      </c>
      <c r="D32" s="11">
        <f t="shared" si="3"/>
        <v>5</v>
      </c>
    </row>
    <row r="33" spans="2:4" ht="15.6">
      <c r="B33" s="10">
        <v>300000</v>
      </c>
      <c r="C33" s="47">
        <f t="shared" si="2"/>
        <v>0.06</v>
      </c>
      <c r="D33" s="11">
        <f t="shared" si="3"/>
        <v>3</v>
      </c>
    </row>
    <row r="34" spans="2:4" ht="15.6">
      <c r="B34" s="10">
        <v>400000</v>
      </c>
      <c r="C34" s="47">
        <f t="shared" si="2"/>
        <v>0.08</v>
      </c>
      <c r="D34" s="11">
        <f t="shared" si="3"/>
        <v>4</v>
      </c>
    </row>
    <row r="35" spans="2:4" ht="15.6">
      <c r="B35" s="10">
        <v>500000</v>
      </c>
      <c r="C35" s="47">
        <f t="shared" si="2"/>
        <v>0.1</v>
      </c>
      <c r="D35" s="11">
        <f t="shared" si="3"/>
        <v>5</v>
      </c>
    </row>
    <row r="36" spans="2:4" ht="15.6">
      <c r="B36" s="10">
        <v>900000</v>
      </c>
      <c r="C36" s="47">
        <f t="shared" si="2"/>
        <v>0.1</v>
      </c>
      <c r="D36" s="11">
        <f t="shared" si="3"/>
        <v>5</v>
      </c>
    </row>
    <row r="37" spans="2:4" ht="15.6">
      <c r="B37" s="14">
        <v>400000</v>
      </c>
      <c r="C37" s="47">
        <f t="shared" si="2"/>
        <v>0.08</v>
      </c>
      <c r="D37" s="11">
        <f t="shared" si="3"/>
        <v>4</v>
      </c>
    </row>
  </sheetData>
  <mergeCells count="6">
    <mergeCell ref="K2:K3"/>
    <mergeCell ref="H2:I2"/>
    <mergeCell ref="H23:I23"/>
    <mergeCell ref="H24:I24"/>
    <mergeCell ref="H21:H22"/>
    <mergeCell ref="J2:J3"/>
  </mergeCells>
  <conditionalFormatting sqref="B3:C3 B4:B17 C4:C18">
    <cfRule type="expression" dxfId="2" priority="3">
      <formula>OR($D3="Mumbai",$F3&gt;60000)</formula>
    </cfRule>
    <cfRule type="expression" dxfId="1" priority="4">
      <formula>OR($D15="Mumbai",$F15&gt;60000)</formula>
    </cfRule>
  </conditionalFormatting>
  <conditionalFormatting sqref="B22:C22 B23:B36 C23:C37">
    <cfRule type="expression" dxfId="4" priority="1">
      <formula>OR($D22="Mumbai",$F22&gt;60000)</formula>
    </cfRule>
    <cfRule type="expression" dxfId="3" priority="2">
      <formula>OR($D34="Mumbai",$F34&gt;60000)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F14" sqref="F14"/>
    </sheetView>
  </sheetViews>
  <sheetFormatPr defaultColWidth="9.109375" defaultRowHeight="14.4"/>
  <cols>
    <col min="1" max="5" width="20" customWidth="1"/>
  </cols>
  <sheetData>
    <row r="1" spans="1:5" ht="25.8">
      <c r="A1" s="64" t="s">
        <v>92</v>
      </c>
      <c r="B1" s="64"/>
      <c r="C1" s="64"/>
      <c r="D1" s="64"/>
      <c r="E1" s="64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50000</v>
      </c>
      <c r="C3" s="3">
        <v>100005</v>
      </c>
      <c r="D3" s="3">
        <v>200000</v>
      </c>
      <c r="E3" s="3">
        <v>450000</v>
      </c>
    </row>
    <row r="4" spans="1:5" ht="23.4">
      <c r="A4" s="1" t="s">
        <v>86</v>
      </c>
      <c r="B4" s="3">
        <v>200000</v>
      </c>
      <c r="C4" s="3">
        <v>350000</v>
      </c>
      <c r="D4" s="3">
        <v>300000</v>
      </c>
      <c r="E4" s="3">
        <v>400000</v>
      </c>
    </row>
    <row r="5" spans="1:5" ht="23.4">
      <c r="A5" s="1" t="s">
        <v>87</v>
      </c>
      <c r="B5" s="3">
        <v>150000</v>
      </c>
      <c r="C5" s="3">
        <v>160001</v>
      </c>
      <c r="D5" s="3">
        <v>180000</v>
      </c>
      <c r="E5" s="3">
        <v>170003</v>
      </c>
    </row>
    <row r="6" spans="1:5" ht="23.4">
      <c r="A6" s="1" t="s">
        <v>88</v>
      </c>
      <c r="B6" s="3">
        <v>20000</v>
      </c>
      <c r="C6" s="3">
        <v>70001</v>
      </c>
      <c r="D6" s="3">
        <v>40006</v>
      </c>
      <c r="E6" s="3">
        <v>60007</v>
      </c>
    </row>
    <row r="7" spans="1:5" ht="23.4">
      <c r="A7" s="1" t="s">
        <v>89</v>
      </c>
      <c r="B7" s="3">
        <v>70000</v>
      </c>
      <c r="C7" s="3">
        <v>100001</v>
      </c>
      <c r="D7" s="3">
        <v>180002</v>
      </c>
      <c r="E7" s="3">
        <v>85003</v>
      </c>
    </row>
    <row r="8" spans="1:5" ht="23.4">
      <c r="A8" s="1" t="s">
        <v>90</v>
      </c>
      <c r="B8" s="3">
        <v>20000</v>
      </c>
      <c r="C8" s="3">
        <v>24001</v>
      </c>
      <c r="D8" s="3">
        <v>35002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AE148"/>
  <sheetViews>
    <sheetView topLeftCell="N3" workbookViewId="0">
      <selection activeCell="U64" sqref="U64"/>
    </sheetView>
  </sheetViews>
  <sheetFormatPr defaultColWidth="9.109375" defaultRowHeight="14.4" outlineLevelRow="2"/>
  <cols>
    <col min="2" max="2" width="5.88671875" customWidth="1"/>
    <col min="3" max="5" width="2.21875" customWidth="1"/>
    <col min="6" max="6" width="10.44140625" customWidth="1"/>
    <col min="7" max="7" width="10.21875" customWidth="1"/>
    <col min="8" max="8" width="13.109375" customWidth="1"/>
    <col min="9" max="9" width="12.77734375" customWidth="1"/>
    <col min="10" max="10" width="11.6640625" customWidth="1"/>
    <col min="11" max="11" width="12.21875" customWidth="1"/>
    <col min="15" max="15" width="2.21875" customWidth="1"/>
    <col min="16" max="16" width="6.88671875" customWidth="1"/>
    <col min="17" max="17" width="2.21875" customWidth="1"/>
    <col min="18" max="18" width="6.88671875" customWidth="1"/>
    <col min="20" max="20" width="9.109375" customWidth="1"/>
    <col min="27" max="27" width="15.44140625" bestFit="1" customWidth="1"/>
    <col min="28" max="30" width="10" bestFit="1" customWidth="1"/>
    <col min="31" max="31" width="11" bestFit="1" customWidth="1"/>
  </cols>
  <sheetData>
    <row r="2" spans="3:31" ht="18">
      <c r="C2" s="4" t="s">
        <v>93</v>
      </c>
      <c r="D2" s="4"/>
      <c r="E2" s="4"/>
      <c r="F2" s="4"/>
      <c r="G2" s="4"/>
      <c r="T2" s="4" t="s">
        <v>93</v>
      </c>
    </row>
    <row r="3" spans="3:31">
      <c r="C3" t="s">
        <v>94</v>
      </c>
      <c r="M3" t="s">
        <v>95</v>
      </c>
      <c r="T3" t="s">
        <v>94</v>
      </c>
      <c r="AA3" s="48" t="s">
        <v>108</v>
      </c>
    </row>
    <row r="4" spans="3:31">
      <c r="C4" t="s">
        <v>96</v>
      </c>
      <c r="T4" t="s">
        <v>96</v>
      </c>
      <c r="AB4" t="s">
        <v>81</v>
      </c>
      <c r="AC4" t="s">
        <v>82</v>
      </c>
      <c r="AD4" t="s">
        <v>83</v>
      </c>
      <c r="AE4" t="s">
        <v>84</v>
      </c>
    </row>
    <row r="5" spans="3:31">
      <c r="C5" t="s">
        <v>97</v>
      </c>
      <c r="T5" t="s">
        <v>97</v>
      </c>
      <c r="AA5" t="s">
        <v>85</v>
      </c>
      <c r="AB5" s="49">
        <v>150000</v>
      </c>
      <c r="AC5" s="49">
        <v>200010</v>
      </c>
      <c r="AD5" s="49">
        <v>400000</v>
      </c>
      <c r="AE5" s="49">
        <v>770000</v>
      </c>
    </row>
    <row r="6" spans="3:31">
      <c r="C6" t="s">
        <v>98</v>
      </c>
      <c r="T6" t="s">
        <v>98</v>
      </c>
      <c r="AA6" t="s">
        <v>86</v>
      </c>
      <c r="AB6" s="49">
        <v>400000</v>
      </c>
      <c r="AC6" s="49">
        <v>670000</v>
      </c>
      <c r="AD6" s="49">
        <v>600000</v>
      </c>
      <c r="AE6" s="49">
        <v>1100000</v>
      </c>
    </row>
    <row r="7" spans="3:31">
      <c r="AA7" t="s">
        <v>87</v>
      </c>
      <c r="AB7" s="49">
        <v>250000</v>
      </c>
      <c r="AC7" s="49">
        <v>310002</v>
      </c>
      <c r="AD7" s="49">
        <v>330000</v>
      </c>
      <c r="AE7" s="49">
        <v>350006</v>
      </c>
    </row>
    <row r="8" spans="3:31">
      <c r="C8" t="s">
        <v>99</v>
      </c>
      <c r="H8" t="s">
        <v>100</v>
      </c>
      <c r="U8" t="s">
        <v>100</v>
      </c>
      <c r="AA8" t="s">
        <v>88</v>
      </c>
      <c r="AB8" s="49">
        <v>40000</v>
      </c>
      <c r="AC8" s="49">
        <v>120002</v>
      </c>
      <c r="AD8" s="49">
        <v>70012</v>
      </c>
      <c r="AE8" s="49">
        <v>130014</v>
      </c>
    </row>
    <row r="9" spans="3:31">
      <c r="H9" s="48" t="s">
        <v>113</v>
      </c>
      <c r="U9" s="48"/>
      <c r="AA9" t="s">
        <v>89</v>
      </c>
      <c r="AB9" s="49">
        <v>170000</v>
      </c>
      <c r="AC9" s="49">
        <v>200002</v>
      </c>
      <c r="AD9" s="49">
        <v>260004</v>
      </c>
      <c r="AE9" s="49">
        <v>180006</v>
      </c>
    </row>
    <row r="10" spans="3:31">
      <c r="AA10" t="s">
        <v>90</v>
      </c>
      <c r="AB10" s="49">
        <v>40000</v>
      </c>
      <c r="AC10" s="49">
        <v>59002</v>
      </c>
      <c r="AD10" s="49">
        <v>70004</v>
      </c>
      <c r="AE10" s="49">
        <v>76006</v>
      </c>
    </row>
    <row r="11" spans="3:31">
      <c r="C11" t="s">
        <v>101</v>
      </c>
      <c r="H11" t="s">
        <v>102</v>
      </c>
    </row>
    <row r="12" spans="3:31">
      <c r="Q12" s="48"/>
      <c r="R12" s="48"/>
      <c r="T12" s="48" t="s">
        <v>115</v>
      </c>
      <c r="AA12" s="48" t="s">
        <v>110</v>
      </c>
    </row>
    <row r="13" spans="3:31">
      <c r="U13" t="s">
        <v>81</v>
      </c>
      <c r="V13" t="s">
        <v>82</v>
      </c>
      <c r="W13" t="s">
        <v>83</v>
      </c>
      <c r="X13" t="s">
        <v>84</v>
      </c>
    </row>
    <row r="14" spans="3:31" hidden="1" outlineLevel="2">
      <c r="S14" s="49"/>
      <c r="T14" s="49" t="s">
        <v>85</v>
      </c>
      <c r="U14" s="49">
        <v>200000</v>
      </c>
      <c r="V14" s="49">
        <v>200005</v>
      </c>
      <c r="W14" s="49">
        <v>400000</v>
      </c>
      <c r="X14" s="49">
        <v>450000</v>
      </c>
    </row>
    <row r="15" spans="3:31" hidden="1" outlineLevel="2" collapsed="1">
      <c r="S15" s="49"/>
      <c r="T15" s="49" t="s">
        <v>86</v>
      </c>
      <c r="U15" s="49">
        <v>300000</v>
      </c>
      <c r="V15" s="49">
        <v>350000</v>
      </c>
      <c r="W15" s="49">
        <v>300000</v>
      </c>
      <c r="X15" s="49">
        <v>700000</v>
      </c>
    </row>
    <row r="16" spans="3:31" collapsed="1">
      <c r="S16" s="49"/>
      <c r="T16" s="49" t="s">
        <v>87</v>
      </c>
      <c r="U16" s="49">
        <v>150000</v>
      </c>
      <c r="V16" s="49">
        <v>160001</v>
      </c>
      <c r="W16" s="49">
        <v>180000</v>
      </c>
      <c r="X16" s="49">
        <v>180003</v>
      </c>
      <c r="AB16" t="s">
        <v>81</v>
      </c>
      <c r="AC16" t="s">
        <v>82</v>
      </c>
      <c r="AD16" t="s">
        <v>83</v>
      </c>
      <c r="AE16" t="s">
        <v>84</v>
      </c>
    </row>
    <row r="17" spans="3:31" hidden="1" outlineLevel="2">
      <c r="S17" s="49"/>
      <c r="T17" s="49" t="s">
        <v>88</v>
      </c>
      <c r="U17" s="49">
        <v>40000</v>
      </c>
      <c r="V17" s="49">
        <v>70001</v>
      </c>
      <c r="W17" s="49">
        <v>40006</v>
      </c>
      <c r="X17" s="49">
        <v>70007</v>
      </c>
      <c r="AA17" t="s">
        <v>85</v>
      </c>
      <c r="AB17" s="49">
        <v>100000</v>
      </c>
      <c r="AC17" s="49">
        <v>100005</v>
      </c>
      <c r="AD17" s="49">
        <v>200000</v>
      </c>
      <c r="AE17" s="49">
        <v>450000</v>
      </c>
    </row>
    <row r="18" spans="3:31" hidden="1" outlineLevel="2" collapsed="1">
      <c r="S18" s="49"/>
      <c r="T18" s="49" t="s">
        <v>89</v>
      </c>
      <c r="U18" s="49">
        <v>100000</v>
      </c>
      <c r="V18" s="49">
        <v>100001</v>
      </c>
      <c r="W18" s="49">
        <v>180002</v>
      </c>
      <c r="X18" s="49">
        <v>95003</v>
      </c>
      <c r="AA18" t="s">
        <v>86</v>
      </c>
      <c r="AB18" s="49">
        <v>200000</v>
      </c>
      <c r="AC18" s="49">
        <v>350000</v>
      </c>
      <c r="AD18" s="49">
        <v>300000</v>
      </c>
      <c r="AE18" s="49">
        <v>700000</v>
      </c>
    </row>
    <row r="19" spans="3:31" collapsed="1">
      <c r="C19" s="50" t="s">
        <v>108</v>
      </c>
      <c r="D19" s="50"/>
      <c r="E19" s="50"/>
      <c r="F19" s="50"/>
      <c r="G19" s="50"/>
      <c r="H19" s="50"/>
      <c r="I19" s="51"/>
      <c r="J19" s="51"/>
      <c r="K19" s="51"/>
      <c r="S19" s="49"/>
      <c r="T19" s="49" t="s">
        <v>90</v>
      </c>
      <c r="U19" s="49">
        <v>23000</v>
      </c>
      <c r="V19" s="49">
        <v>35001</v>
      </c>
      <c r="W19" s="49">
        <v>35002</v>
      </c>
      <c r="X19" s="49">
        <v>43003</v>
      </c>
      <c r="AA19" t="s">
        <v>87</v>
      </c>
      <c r="AB19" s="49">
        <v>150000</v>
      </c>
      <c r="AC19" s="49">
        <v>160001</v>
      </c>
      <c r="AD19" s="49">
        <v>180000</v>
      </c>
      <c r="AE19" s="49">
        <v>180003</v>
      </c>
    </row>
    <row r="20" spans="3:31" hidden="1" outlineLevel="2">
      <c r="C20" s="50"/>
      <c r="D20" s="50"/>
      <c r="E20" s="50"/>
      <c r="F20" s="50"/>
      <c r="G20" s="50"/>
      <c r="H20" s="50"/>
      <c r="I20" s="51"/>
      <c r="J20" s="51"/>
      <c r="K20" s="51"/>
      <c r="S20" s="49"/>
      <c r="T20" s="49"/>
      <c r="U20" s="49"/>
      <c r="V20" s="49"/>
      <c r="AA20" t="s">
        <v>88</v>
      </c>
      <c r="AB20" s="49">
        <v>20000</v>
      </c>
      <c r="AC20" s="49">
        <v>70001</v>
      </c>
      <c r="AD20" s="49">
        <v>40006</v>
      </c>
      <c r="AE20" s="49">
        <v>70007</v>
      </c>
    </row>
    <row r="21" spans="3:31" hidden="1" outlineLevel="2" collapsed="1">
      <c r="C21" s="50"/>
      <c r="D21" s="50"/>
      <c r="E21" s="50"/>
      <c r="F21" s="50"/>
      <c r="G21" s="50"/>
      <c r="H21" s="50"/>
      <c r="I21" s="51"/>
      <c r="J21" s="51"/>
      <c r="K21" s="51"/>
      <c r="S21" s="49"/>
      <c r="T21" s="49"/>
      <c r="U21" s="49"/>
      <c r="V21" s="49"/>
      <c r="AA21" t="s">
        <v>89</v>
      </c>
      <c r="AB21" s="49">
        <v>100000</v>
      </c>
      <c r="AC21" s="49">
        <v>100001</v>
      </c>
      <c r="AD21" s="49">
        <v>180002</v>
      </c>
      <c r="AE21" s="49">
        <v>95003</v>
      </c>
    </row>
    <row r="22" spans="3:31" collapsed="1">
      <c r="C22" s="51"/>
      <c r="D22" s="51"/>
      <c r="E22" s="51"/>
      <c r="F22" s="51"/>
      <c r="G22" s="51"/>
      <c r="H22" s="51" t="s">
        <v>81</v>
      </c>
      <c r="I22" s="51" t="s">
        <v>82</v>
      </c>
      <c r="J22" s="51" t="s">
        <v>83</v>
      </c>
      <c r="K22" s="51" t="s">
        <v>84</v>
      </c>
      <c r="S22" s="49"/>
      <c r="T22" s="49"/>
      <c r="U22" s="49"/>
      <c r="V22" s="49"/>
      <c r="AA22" t="s">
        <v>90</v>
      </c>
      <c r="AB22" s="49">
        <v>20000</v>
      </c>
      <c r="AC22" s="49">
        <v>35001</v>
      </c>
      <c r="AD22" s="49">
        <v>35002</v>
      </c>
      <c r="AE22" s="49">
        <v>43003</v>
      </c>
    </row>
    <row r="23" spans="3:31" hidden="1" outlineLevel="2">
      <c r="C23" s="51"/>
      <c r="D23" s="51"/>
      <c r="E23" s="51"/>
      <c r="F23" s="51"/>
      <c r="G23" s="51"/>
      <c r="H23" s="51"/>
      <c r="I23" s="51"/>
      <c r="J23" s="51"/>
      <c r="K23" s="51"/>
      <c r="S23" s="49"/>
      <c r="T23" s="49"/>
      <c r="U23" s="49"/>
      <c r="V23" s="49"/>
    </row>
    <row r="24" spans="3:31" hidden="1" outlineLevel="2" collapsed="1">
      <c r="C24" s="51"/>
      <c r="D24" s="51"/>
      <c r="E24" s="51"/>
      <c r="F24" s="51"/>
      <c r="G24" s="51"/>
      <c r="H24" s="51"/>
      <c r="I24" s="51"/>
      <c r="J24" s="51"/>
      <c r="K24" s="51"/>
      <c r="S24" s="49"/>
      <c r="T24" s="49"/>
      <c r="U24" s="49"/>
      <c r="V24" s="49"/>
    </row>
    <row r="25" spans="3:31" hidden="1" outlineLevel="1" collapsed="1">
      <c r="C25" s="51"/>
      <c r="D25" s="51"/>
      <c r="E25" s="51"/>
      <c r="F25" s="51"/>
      <c r="G25" s="51" t="s">
        <v>109</v>
      </c>
      <c r="H25" s="52">
        <f>cansole1!$B$3</f>
        <v>200000</v>
      </c>
      <c r="I25" s="52">
        <f>cansole1!$C$3</f>
        <v>200005</v>
      </c>
      <c r="J25" s="52">
        <f>cansole1!$D$3</f>
        <v>400000</v>
      </c>
      <c r="K25" s="52">
        <f>cansole1!$E$3</f>
        <v>420000</v>
      </c>
      <c r="S25" s="49"/>
      <c r="T25" s="49"/>
      <c r="U25" s="49"/>
      <c r="V25" s="49"/>
    </row>
    <row r="26" spans="3:31" hidden="1" outlineLevel="2">
      <c r="C26" s="51"/>
      <c r="D26" s="51"/>
      <c r="E26" s="51"/>
      <c r="F26" s="51"/>
      <c r="G26" s="51"/>
      <c r="H26" s="52"/>
      <c r="I26" s="52"/>
      <c r="J26" s="52"/>
      <c r="K26" s="52"/>
      <c r="S26" s="49"/>
      <c r="T26" s="49"/>
      <c r="U26" s="49"/>
      <c r="V26" s="49"/>
    </row>
    <row r="27" spans="3:31" hidden="1" outlineLevel="2" collapsed="1">
      <c r="C27" s="51"/>
      <c r="D27" s="51"/>
      <c r="E27" s="51"/>
      <c r="F27" s="51"/>
      <c r="G27" s="51"/>
      <c r="H27" s="52"/>
      <c r="I27" s="52"/>
      <c r="J27" s="52"/>
      <c r="K27" s="52"/>
      <c r="S27" s="49"/>
      <c r="T27" s="49"/>
      <c r="U27" s="49"/>
      <c r="V27" s="49"/>
    </row>
    <row r="28" spans="3:31" hidden="1" outlineLevel="1" collapsed="1">
      <c r="C28" s="51"/>
      <c r="D28" s="51"/>
      <c r="E28" s="51"/>
      <c r="F28" s="51"/>
      <c r="G28" s="51" t="s">
        <v>109</v>
      </c>
      <c r="H28" s="52">
        <f>cansole2!$B$3</f>
        <v>100000</v>
      </c>
      <c r="I28" s="52">
        <f>cansole2!$C$3</f>
        <v>100005</v>
      </c>
      <c r="J28" s="52">
        <f>cansole2!$D$3</f>
        <v>200000</v>
      </c>
      <c r="K28" s="52">
        <f>cansole2!$E$3</f>
        <v>320000</v>
      </c>
      <c r="S28" s="49"/>
      <c r="T28" s="49"/>
      <c r="U28" s="49"/>
      <c r="V28" s="49"/>
    </row>
    <row r="29" spans="3:31" hidden="1" outlineLevel="2">
      <c r="C29" s="51"/>
      <c r="D29" s="51"/>
      <c r="E29" s="51"/>
      <c r="F29" s="51"/>
      <c r="G29" s="51"/>
      <c r="H29" s="52"/>
      <c r="I29" s="52"/>
      <c r="J29" s="52"/>
      <c r="K29" s="52"/>
      <c r="S29" s="49"/>
      <c r="T29" s="49"/>
      <c r="U29" s="49"/>
      <c r="V29" s="49"/>
    </row>
    <row r="30" spans="3:31" hidden="1" outlineLevel="2">
      <c r="C30" s="51"/>
      <c r="D30" s="51"/>
      <c r="E30" s="51"/>
      <c r="F30" s="51"/>
      <c r="G30" s="51"/>
      <c r="H30" s="52"/>
      <c r="I30" s="52"/>
      <c r="J30" s="52"/>
      <c r="K30" s="52"/>
      <c r="S30" s="49"/>
      <c r="T30" s="49"/>
      <c r="U30" s="49"/>
      <c r="V30" s="49"/>
    </row>
    <row r="31" spans="3:31" hidden="1" outlineLevel="1" collapsed="1">
      <c r="C31" s="51"/>
      <c r="D31" s="51"/>
      <c r="E31" s="51"/>
      <c r="F31" s="51"/>
      <c r="G31" s="51" t="s">
        <v>109</v>
      </c>
      <c r="H31" s="52">
        <f>cansole3!$B$3</f>
        <v>50000</v>
      </c>
      <c r="I31" s="52">
        <f>cansole3!$C$3</f>
        <v>100005</v>
      </c>
      <c r="J31" s="52">
        <f>cansole3!$D$3</f>
        <v>200000</v>
      </c>
      <c r="K31" s="52">
        <f>cansole3!$E$3</f>
        <v>450000</v>
      </c>
      <c r="S31" s="49"/>
      <c r="T31" s="49"/>
      <c r="U31" s="49"/>
      <c r="V31" s="49"/>
    </row>
    <row r="32" spans="3:31" collapsed="1">
      <c r="C32" s="51" t="s">
        <v>85</v>
      </c>
      <c r="D32" s="51"/>
      <c r="E32" s="51"/>
      <c r="F32" s="51"/>
      <c r="G32" s="51"/>
      <c r="H32" s="52">
        <f>SUM(H25:H31)</f>
        <v>350000</v>
      </c>
      <c r="I32" s="52">
        <f>SUM(I25:I31)</f>
        <v>400015</v>
      </c>
      <c r="J32" s="52">
        <f>SUM(J25:J31)</f>
        <v>800000</v>
      </c>
      <c r="K32" s="52">
        <f>SUM(K25:K31)</f>
        <v>1190000</v>
      </c>
    </row>
    <row r="33" spans="3:31" hidden="1" outlineLevel="1">
      <c r="C33" s="51"/>
      <c r="D33" s="51"/>
      <c r="E33" s="51"/>
      <c r="F33" s="51"/>
      <c r="G33" s="51" t="s">
        <v>109</v>
      </c>
      <c r="H33" s="52">
        <f>cansole1!$B$4</f>
        <v>300000</v>
      </c>
      <c r="I33" s="52">
        <f>cansole1!$C$4</f>
        <v>350000</v>
      </c>
      <c r="J33" s="52">
        <f>cansole1!$D$4</f>
        <v>200000</v>
      </c>
      <c r="K33" s="52">
        <f>cansole1!$E$4</f>
        <v>500000</v>
      </c>
    </row>
    <row r="34" spans="3:31" hidden="1" outlineLevel="1" collapsed="1">
      <c r="C34" s="51"/>
      <c r="D34" s="51"/>
      <c r="E34" s="51"/>
      <c r="F34" s="51"/>
      <c r="G34" s="51" t="s">
        <v>109</v>
      </c>
      <c r="H34" s="52">
        <f>cansole2!$B$4</f>
        <v>200000</v>
      </c>
      <c r="I34" s="52">
        <f>cansole2!$C$4</f>
        <v>320000</v>
      </c>
      <c r="J34" s="52">
        <f>cansole2!$D$4</f>
        <v>300000</v>
      </c>
      <c r="K34" s="52">
        <f>cansole2!$E$4</f>
        <v>700000</v>
      </c>
    </row>
    <row r="35" spans="3:31" hidden="1" outlineLevel="1" collapsed="1">
      <c r="C35" s="51"/>
      <c r="D35" s="51"/>
      <c r="E35" s="51"/>
      <c r="F35" s="51"/>
      <c r="G35" s="51" t="s">
        <v>109</v>
      </c>
      <c r="H35" s="52">
        <f>cansole3!$B$4</f>
        <v>200000</v>
      </c>
      <c r="I35" s="52">
        <f>cansole3!$C$4</f>
        <v>350000</v>
      </c>
      <c r="J35" s="52">
        <f>cansole3!$D$4</f>
        <v>300000</v>
      </c>
      <c r="K35" s="52">
        <f>cansole3!$E$4</f>
        <v>400000</v>
      </c>
    </row>
    <row r="36" spans="3:31" collapsed="1">
      <c r="C36" s="51" t="s">
        <v>86</v>
      </c>
      <c r="D36" s="51"/>
      <c r="E36" s="51"/>
      <c r="F36" s="51"/>
      <c r="G36" s="51"/>
      <c r="H36" s="52">
        <f>SUM(H33:H35)</f>
        <v>700000</v>
      </c>
      <c r="I36" s="52">
        <f>SUM(I33:I35)</f>
        <v>1020000</v>
      </c>
      <c r="J36" s="52">
        <f>SUM(J33:J35)</f>
        <v>800000</v>
      </c>
      <c r="K36" s="52">
        <f>SUM(K33:K35)</f>
        <v>1600000</v>
      </c>
    </row>
    <row r="37" spans="3:31" hidden="1" outlineLevel="1">
      <c r="C37" s="51"/>
      <c r="D37" s="51"/>
      <c r="E37" s="51"/>
      <c r="F37" s="51"/>
      <c r="G37" s="51" t="s">
        <v>109</v>
      </c>
      <c r="H37" s="52">
        <f>cansole1!$B$5</f>
        <v>120000</v>
      </c>
      <c r="I37" s="52">
        <f>cansole1!$C$5</f>
        <v>120001</v>
      </c>
      <c r="J37" s="52">
        <f>cansole1!$D$5</f>
        <v>150000</v>
      </c>
      <c r="K37" s="52">
        <f>cansole1!$E$5</f>
        <v>160003</v>
      </c>
    </row>
    <row r="38" spans="3:31" hidden="1" outlineLevel="1" collapsed="1">
      <c r="C38" s="51"/>
      <c r="D38" s="51"/>
      <c r="E38" s="51"/>
      <c r="F38" s="51"/>
      <c r="G38" s="51" t="s">
        <v>109</v>
      </c>
      <c r="H38" s="52">
        <f>cansole2!$B$5</f>
        <v>100000</v>
      </c>
      <c r="I38" s="52">
        <f>cansole2!$C$5</f>
        <v>150001</v>
      </c>
      <c r="J38" s="52">
        <f>cansole2!$D$5</f>
        <v>150000</v>
      </c>
      <c r="K38" s="52">
        <f>cansole2!$E$5</f>
        <v>180003</v>
      </c>
    </row>
    <row r="39" spans="3:31" hidden="1" outlineLevel="1" collapsed="1">
      <c r="C39" s="51"/>
      <c r="D39" s="51"/>
      <c r="E39" s="51"/>
      <c r="F39" s="51"/>
      <c r="G39" s="51" t="s">
        <v>109</v>
      </c>
      <c r="H39" s="52">
        <f>cansole3!$B$5</f>
        <v>150000</v>
      </c>
      <c r="I39" s="52">
        <f>cansole3!$C$5</f>
        <v>160001</v>
      </c>
      <c r="J39" s="52">
        <f>cansole3!$D$5</f>
        <v>180000</v>
      </c>
      <c r="K39" s="52">
        <f>cansole3!$E$5</f>
        <v>170003</v>
      </c>
    </row>
    <row r="40" spans="3:31" collapsed="1">
      <c r="C40" s="51" t="s">
        <v>87</v>
      </c>
      <c r="D40" s="51"/>
      <c r="E40" s="51"/>
      <c r="F40" s="51"/>
      <c r="G40" s="51"/>
      <c r="H40" s="52">
        <f>SUM(H37:H39)</f>
        <v>370000</v>
      </c>
      <c r="I40" s="52">
        <f>SUM(I37:I39)</f>
        <v>430003</v>
      </c>
      <c r="J40" s="52">
        <f>SUM(J37:J39)</f>
        <v>480000</v>
      </c>
      <c r="K40" s="52">
        <f>SUM(K37:K39)</f>
        <v>510009</v>
      </c>
      <c r="AA40" s="48" t="s">
        <v>114</v>
      </c>
    </row>
    <row r="41" spans="3:31" hidden="1" outlineLevel="1">
      <c r="C41" s="51"/>
      <c r="D41" s="51"/>
      <c r="E41" s="51"/>
      <c r="F41" s="51"/>
      <c r="G41" s="51" t="s">
        <v>109</v>
      </c>
      <c r="H41" s="52">
        <f>cansole1!$B$6</f>
        <v>40000</v>
      </c>
      <c r="I41" s="52">
        <f>cansole1!$C$6</f>
        <v>50001</v>
      </c>
      <c r="J41" s="52">
        <f>cansole1!$D$6</f>
        <v>40006</v>
      </c>
      <c r="K41" s="52">
        <f>cansole1!$E$6</f>
        <v>60007</v>
      </c>
    </row>
    <row r="42" spans="3:31" hidden="1" outlineLevel="1" collapsed="1">
      <c r="C42" s="51"/>
      <c r="D42" s="51"/>
      <c r="E42" s="51"/>
      <c r="F42" s="51"/>
      <c r="G42" s="51" t="s">
        <v>109</v>
      </c>
      <c r="H42" s="52">
        <f>cansole2!$B$6</f>
        <v>20000</v>
      </c>
      <c r="I42" s="52">
        <f>cansole2!$C$6</f>
        <v>50001</v>
      </c>
      <c r="J42" s="52">
        <f>cansole2!$D$6</f>
        <v>30006</v>
      </c>
      <c r="K42" s="52">
        <f>cansole2!$E$6</f>
        <v>70007</v>
      </c>
    </row>
    <row r="43" spans="3:31" hidden="1" outlineLevel="1" collapsed="1">
      <c r="C43" s="51"/>
      <c r="D43" s="51"/>
      <c r="E43" s="51"/>
      <c r="F43" s="51"/>
      <c r="G43" s="51" t="s">
        <v>109</v>
      </c>
      <c r="H43" s="52">
        <f>cansole3!$B$6</f>
        <v>20000</v>
      </c>
      <c r="I43" s="52">
        <f>cansole3!$C$6</f>
        <v>70001</v>
      </c>
      <c r="J43" s="52">
        <f>cansole3!$D$6</f>
        <v>40006</v>
      </c>
      <c r="K43" s="52">
        <f>cansole3!$E$6</f>
        <v>60007</v>
      </c>
    </row>
    <row r="44" spans="3:31" collapsed="1">
      <c r="C44" s="51" t="s">
        <v>88</v>
      </c>
      <c r="D44" s="51"/>
      <c r="E44" s="51"/>
      <c r="F44" s="51"/>
      <c r="G44" s="51"/>
      <c r="H44" s="52">
        <f>SUM(H41:H43)</f>
        <v>80000</v>
      </c>
      <c r="I44" s="52">
        <f>SUM(I41:I43)</f>
        <v>170003</v>
      </c>
      <c r="J44" s="52">
        <f>SUM(J41:J43)</f>
        <v>110018</v>
      </c>
      <c r="K44" s="52">
        <f>SUM(K41:K43)</f>
        <v>190021</v>
      </c>
      <c r="AB44" t="s">
        <v>81</v>
      </c>
      <c r="AC44" t="s">
        <v>82</v>
      </c>
      <c r="AD44" t="s">
        <v>83</v>
      </c>
      <c r="AE44" t="s">
        <v>84</v>
      </c>
    </row>
    <row r="45" spans="3:31" hidden="1" outlineLevel="2">
      <c r="C45" s="51"/>
      <c r="D45" s="51"/>
      <c r="E45" s="51"/>
      <c r="F45" s="51"/>
      <c r="G45" s="51"/>
      <c r="H45" s="52"/>
      <c r="I45" s="52"/>
      <c r="J45" s="52"/>
      <c r="K45" s="52"/>
      <c r="P45" t="s">
        <v>116</v>
      </c>
      <c r="Q45" s="49">
        <f>cansole1!$B$3</f>
        <v>200000</v>
      </c>
      <c r="R45" s="49">
        <f>cansole1!$C$3</f>
        <v>200005</v>
      </c>
      <c r="S45" s="49">
        <f>cansole1!$D$3</f>
        <v>400000</v>
      </c>
      <c r="T45" s="49">
        <f>cansole1!$E$3</f>
        <v>420000</v>
      </c>
    </row>
    <row r="46" spans="3:31" hidden="1" outlineLevel="2" collapsed="1">
      <c r="C46" s="51"/>
      <c r="D46" s="51"/>
      <c r="E46" s="51"/>
      <c r="F46" s="51"/>
      <c r="G46" s="51"/>
      <c r="H46" s="52"/>
      <c r="I46" s="52"/>
      <c r="J46" s="52"/>
      <c r="K46" s="52"/>
      <c r="P46" t="s">
        <v>116</v>
      </c>
      <c r="Q46" s="49">
        <f>cansole2!$B$3</f>
        <v>100000</v>
      </c>
      <c r="R46" s="49">
        <f>cansole2!$C$3</f>
        <v>100005</v>
      </c>
      <c r="S46" s="49">
        <f>cansole2!$D$3</f>
        <v>200000</v>
      </c>
      <c r="T46" s="49">
        <f>cansole2!$E$3</f>
        <v>320000</v>
      </c>
    </row>
    <row r="47" spans="3:31" hidden="1" outlineLevel="1" collapsed="1">
      <c r="C47" s="51"/>
      <c r="D47" s="51"/>
      <c r="E47" s="51"/>
      <c r="F47" s="51"/>
      <c r="G47" s="51" t="s">
        <v>109</v>
      </c>
      <c r="H47" s="52">
        <f>cansole1!$B$7</f>
        <v>90000</v>
      </c>
      <c r="I47" s="52">
        <f>cansole1!$C$7</f>
        <v>100001</v>
      </c>
      <c r="J47" s="52">
        <f>cansole1!$D$7</f>
        <v>80002</v>
      </c>
      <c r="K47" s="52">
        <f>cansole1!$E$7</f>
        <v>85003</v>
      </c>
      <c r="O47" t="s">
        <v>85</v>
      </c>
      <c r="Q47" s="49">
        <f>SUM(Q45:Q46)</f>
        <v>300000</v>
      </c>
      <c r="R47" s="49">
        <f>SUM(R45:R46)</f>
        <v>300010</v>
      </c>
      <c r="S47" s="49">
        <f>SUM(S45:S46)</f>
        <v>600000</v>
      </c>
      <c r="T47" s="49">
        <f>SUM(T45:T46)</f>
        <v>740000</v>
      </c>
      <c r="AA47" t="s">
        <v>85</v>
      </c>
      <c r="AB47" s="49">
        <v>200000</v>
      </c>
      <c r="AC47" s="49">
        <v>200005</v>
      </c>
      <c r="AD47" s="49">
        <v>400000</v>
      </c>
      <c r="AE47" s="49">
        <v>450000</v>
      </c>
    </row>
    <row r="48" spans="3:31" hidden="1" outlineLevel="2">
      <c r="C48" s="51"/>
      <c r="D48" s="51"/>
      <c r="E48" s="51"/>
      <c r="F48" s="51"/>
      <c r="G48" s="51"/>
      <c r="H48" s="52"/>
      <c r="I48" s="52"/>
      <c r="J48" s="52"/>
      <c r="K48" s="52"/>
      <c r="P48" t="s">
        <v>116</v>
      </c>
      <c r="Q48" s="49">
        <f>cansole1!$B$4</f>
        <v>300000</v>
      </c>
      <c r="R48" s="49">
        <f>cansole1!$C$4</f>
        <v>350000</v>
      </c>
      <c r="S48" s="49">
        <f>cansole1!$D$4</f>
        <v>200000</v>
      </c>
      <c r="T48" s="49">
        <f>cansole1!$E$4</f>
        <v>500000</v>
      </c>
      <c r="AB48" s="49"/>
      <c r="AC48" s="49"/>
      <c r="AD48" s="49"/>
      <c r="AE48" s="49"/>
    </row>
    <row r="49" spans="3:31" hidden="1" outlineLevel="2" collapsed="1">
      <c r="C49" s="51"/>
      <c r="D49" s="51"/>
      <c r="E49" s="51"/>
      <c r="F49" s="51"/>
      <c r="G49" s="51"/>
      <c r="H49" s="52"/>
      <c r="I49" s="52"/>
      <c r="J49" s="52"/>
      <c r="K49" s="52"/>
      <c r="P49" t="s">
        <v>116</v>
      </c>
      <c r="Q49" s="49">
        <f>cansole2!$B$4</f>
        <v>200000</v>
      </c>
      <c r="R49" s="49">
        <f>cansole2!$C$4</f>
        <v>320000</v>
      </c>
      <c r="S49" s="49">
        <f>cansole2!$D$4</f>
        <v>300000</v>
      </c>
      <c r="T49" s="49">
        <f>cansole2!$E$4</f>
        <v>700000</v>
      </c>
      <c r="AB49" s="49"/>
      <c r="AC49" s="49"/>
      <c r="AD49" s="49"/>
      <c r="AE49" s="49"/>
    </row>
    <row r="50" spans="3:31" hidden="1" outlineLevel="1" collapsed="1">
      <c r="C50" s="51"/>
      <c r="D50" s="51"/>
      <c r="E50" s="51"/>
      <c r="F50" s="51"/>
      <c r="G50" s="51" t="s">
        <v>109</v>
      </c>
      <c r="H50" s="52">
        <f>cansole2!$B$7</f>
        <v>100000</v>
      </c>
      <c r="I50" s="52">
        <f>cansole2!$C$7</f>
        <v>100001</v>
      </c>
      <c r="J50" s="52">
        <f>cansole2!$D$7</f>
        <v>80002</v>
      </c>
      <c r="K50" s="52">
        <f>cansole2!$E$7</f>
        <v>95003</v>
      </c>
      <c r="O50" t="s">
        <v>86</v>
      </c>
      <c r="Q50" s="49">
        <f>SUM(Q48:Q49)</f>
        <v>500000</v>
      </c>
      <c r="R50" s="49">
        <f>SUM(R48:R49)</f>
        <v>670000</v>
      </c>
      <c r="S50" s="49">
        <f>SUM(S48:S49)</f>
        <v>500000</v>
      </c>
      <c r="T50" s="49">
        <f>SUM(T48:T49)</f>
        <v>1200000</v>
      </c>
      <c r="AA50" t="s">
        <v>86</v>
      </c>
      <c r="AB50" s="49">
        <v>300000</v>
      </c>
      <c r="AC50" s="49">
        <v>350000</v>
      </c>
      <c r="AD50" s="49">
        <v>300000</v>
      </c>
      <c r="AE50" s="49">
        <v>700000</v>
      </c>
    </row>
    <row r="51" spans="3:31" hidden="1" outlineLevel="2">
      <c r="C51" s="51"/>
      <c r="D51" s="51"/>
      <c r="E51" s="51"/>
      <c r="F51" s="51"/>
      <c r="G51" s="51"/>
      <c r="H51" s="52"/>
      <c r="I51" s="52"/>
      <c r="J51" s="52"/>
      <c r="K51" s="52"/>
      <c r="P51" t="s">
        <v>116</v>
      </c>
      <c r="Q51" s="49">
        <f>cansole1!$B$5</f>
        <v>120000</v>
      </c>
      <c r="R51" s="49">
        <f>cansole1!$C$5</f>
        <v>120001</v>
      </c>
      <c r="S51" s="49">
        <f>cansole1!$D$5</f>
        <v>150000</v>
      </c>
      <c r="T51" s="49">
        <f>cansole1!$E$5</f>
        <v>160003</v>
      </c>
      <c r="AB51" s="49"/>
      <c r="AC51" s="49"/>
      <c r="AD51" s="49"/>
      <c r="AE51" s="49"/>
    </row>
    <row r="52" spans="3:31" hidden="1" outlineLevel="2" collapsed="1">
      <c r="C52" s="51"/>
      <c r="D52" s="51"/>
      <c r="E52" s="51"/>
      <c r="F52" s="51"/>
      <c r="G52" s="51"/>
      <c r="H52" s="52"/>
      <c r="I52" s="52"/>
      <c r="J52" s="52"/>
      <c r="K52" s="52"/>
      <c r="P52" t="s">
        <v>116</v>
      </c>
      <c r="Q52" s="49">
        <f>cansole2!$B$5</f>
        <v>100000</v>
      </c>
      <c r="R52" s="49">
        <f>cansole2!$C$5</f>
        <v>150001</v>
      </c>
      <c r="S52" s="49">
        <f>cansole2!$D$5</f>
        <v>150000</v>
      </c>
      <c r="T52" s="49">
        <f>cansole2!$E$5</f>
        <v>180003</v>
      </c>
      <c r="AB52" s="49"/>
      <c r="AC52" s="49"/>
      <c r="AD52" s="49"/>
      <c r="AE52" s="49"/>
    </row>
    <row r="53" spans="3:31" hidden="1" outlineLevel="1" collapsed="1">
      <c r="C53" s="51"/>
      <c r="D53" s="51"/>
      <c r="E53" s="51"/>
      <c r="F53" s="51"/>
      <c r="G53" s="51" t="s">
        <v>109</v>
      </c>
      <c r="H53" s="52">
        <f>cansole3!$B$7</f>
        <v>70000</v>
      </c>
      <c r="I53" s="52">
        <f>cansole3!$C$7</f>
        <v>100001</v>
      </c>
      <c r="J53" s="52">
        <f>cansole3!$D$7</f>
        <v>180002</v>
      </c>
      <c r="K53" s="52">
        <f>cansole3!$E$7</f>
        <v>85003</v>
      </c>
      <c r="O53" t="s">
        <v>87</v>
      </c>
      <c r="Q53" s="49">
        <f>SUM(Q51:Q52)</f>
        <v>220000</v>
      </c>
      <c r="R53" s="49">
        <f>SUM(R51:R52)</f>
        <v>270002</v>
      </c>
      <c r="S53" s="49">
        <f>SUM(S51:S52)</f>
        <v>300000</v>
      </c>
      <c r="T53" s="49">
        <f>SUM(T51:T52)</f>
        <v>340006</v>
      </c>
      <c r="AA53" t="s">
        <v>87</v>
      </c>
      <c r="AB53" s="49">
        <v>150000</v>
      </c>
      <c r="AC53" s="49">
        <v>160001</v>
      </c>
      <c r="AD53" s="49">
        <v>180000</v>
      </c>
      <c r="AE53" s="49">
        <v>180003</v>
      </c>
    </row>
    <row r="54" spans="3:31" hidden="1" outlineLevel="2">
      <c r="C54" s="51"/>
      <c r="D54" s="51"/>
      <c r="E54" s="51"/>
      <c r="F54" s="51"/>
      <c r="G54" s="51"/>
      <c r="H54" s="52"/>
      <c r="I54" s="52"/>
      <c r="J54" s="52"/>
      <c r="K54" s="52"/>
      <c r="P54" t="s">
        <v>116</v>
      </c>
      <c r="Q54" s="49">
        <f>cansole1!$B$6</f>
        <v>40000</v>
      </c>
      <c r="R54" s="49">
        <f>cansole1!$C$6</f>
        <v>50001</v>
      </c>
      <c r="S54" s="49">
        <f>cansole1!$D$6</f>
        <v>40006</v>
      </c>
      <c r="T54" s="49">
        <f>cansole1!$E$6</f>
        <v>60007</v>
      </c>
      <c r="AB54" s="49"/>
      <c r="AC54" s="49"/>
      <c r="AD54" s="49"/>
      <c r="AE54" s="49"/>
    </row>
    <row r="55" spans="3:31" hidden="1" outlineLevel="2">
      <c r="C55" s="51"/>
      <c r="D55" s="51"/>
      <c r="E55" s="51"/>
      <c r="F55" s="51"/>
      <c r="G55" s="51"/>
      <c r="H55" s="52"/>
      <c r="I55" s="52"/>
      <c r="J55" s="52"/>
      <c r="K55" s="52"/>
      <c r="P55" t="s">
        <v>116</v>
      </c>
      <c r="Q55" s="49">
        <f>cansole2!$B$6</f>
        <v>20000</v>
      </c>
      <c r="R55" s="49">
        <f>cansole2!$C$6</f>
        <v>50001</v>
      </c>
      <c r="S55" s="49">
        <f>cansole2!$D$6</f>
        <v>30006</v>
      </c>
      <c r="T55" s="49">
        <f>cansole2!$E$6</f>
        <v>70007</v>
      </c>
      <c r="AB55" s="49"/>
      <c r="AC55" s="49"/>
      <c r="AD55" s="49"/>
      <c r="AE55" s="49"/>
    </row>
    <row r="56" spans="3:31" collapsed="1">
      <c r="C56" s="51" t="s">
        <v>89</v>
      </c>
      <c r="D56" s="51"/>
      <c r="E56" s="51"/>
      <c r="F56" s="51"/>
      <c r="G56" s="51"/>
      <c r="H56" s="52">
        <f>SUM(H47:H53)</f>
        <v>260000</v>
      </c>
      <c r="I56" s="52">
        <f>SUM(I47:I53)</f>
        <v>300003</v>
      </c>
      <c r="J56" s="52">
        <f>SUM(J47:J53)</f>
        <v>340006</v>
      </c>
      <c r="K56" s="52">
        <f>SUM(K47:K53)</f>
        <v>265009</v>
      </c>
      <c r="Q56" s="49"/>
      <c r="R56" s="49"/>
      <c r="S56" s="49"/>
      <c r="T56" s="49"/>
      <c r="AA56" t="s">
        <v>88</v>
      </c>
      <c r="AB56" s="49">
        <v>40000</v>
      </c>
      <c r="AC56" s="49">
        <v>70001</v>
      </c>
      <c r="AD56" s="49">
        <v>40006</v>
      </c>
      <c r="AE56" s="49">
        <v>70007</v>
      </c>
    </row>
    <row r="57" spans="3:31" hidden="1" outlineLevel="2">
      <c r="C57" s="51"/>
      <c r="D57" s="51"/>
      <c r="E57" s="51"/>
      <c r="F57" s="51"/>
      <c r="G57" s="51"/>
      <c r="H57" s="52"/>
      <c r="I57" s="52"/>
      <c r="J57" s="52"/>
      <c r="K57" s="52"/>
      <c r="P57" t="s">
        <v>116</v>
      </c>
      <c r="Q57" s="49">
        <f>cansole1!$B$7</f>
        <v>90000</v>
      </c>
      <c r="R57" s="49">
        <f>cansole1!$C$7</f>
        <v>100001</v>
      </c>
      <c r="S57" s="49">
        <f>cansole1!$D$7</f>
        <v>80002</v>
      </c>
      <c r="T57" s="49">
        <f>cansole1!$E$7</f>
        <v>85003</v>
      </c>
      <c r="AB57" s="49"/>
      <c r="AC57" s="49"/>
      <c r="AD57" s="49"/>
      <c r="AE57" s="49"/>
    </row>
    <row r="58" spans="3:31" hidden="1" outlineLevel="2" collapsed="1">
      <c r="C58" s="51"/>
      <c r="D58" s="51"/>
      <c r="E58" s="51"/>
      <c r="F58" s="51"/>
      <c r="G58" s="51"/>
      <c r="H58" s="52"/>
      <c r="I58" s="52"/>
      <c r="J58" s="52"/>
      <c r="K58" s="52"/>
      <c r="P58" t="s">
        <v>116</v>
      </c>
      <c r="Q58" s="49">
        <f>cansole2!$B$7</f>
        <v>100000</v>
      </c>
      <c r="R58" s="49">
        <f>cansole2!$C$7</f>
        <v>100001</v>
      </c>
      <c r="S58" s="49">
        <f>cansole2!$D$7</f>
        <v>80002</v>
      </c>
      <c r="T58" s="49">
        <f>cansole2!$E$7</f>
        <v>95003</v>
      </c>
      <c r="AB58" s="49"/>
      <c r="AC58" s="49"/>
      <c r="AD58" s="49"/>
      <c r="AE58" s="49"/>
    </row>
    <row r="59" spans="3:31" hidden="1" outlineLevel="1" collapsed="1">
      <c r="C59" s="51"/>
      <c r="D59" s="51"/>
      <c r="E59" s="51"/>
      <c r="F59" s="51"/>
      <c r="G59" s="51" t="s">
        <v>109</v>
      </c>
      <c r="H59" s="52">
        <f>cansole1!$B$8</f>
        <v>23000</v>
      </c>
      <c r="I59" s="52">
        <f>cansole1!$C$8</f>
        <v>25001</v>
      </c>
      <c r="J59" s="52">
        <f>cansole1!$D$8</f>
        <v>25002</v>
      </c>
      <c r="K59" s="52">
        <f>cansole1!$E$8</f>
        <v>33003</v>
      </c>
      <c r="O59" t="s">
        <v>89</v>
      </c>
      <c r="Q59" s="49">
        <f>SUM(Q57:Q58)</f>
        <v>190000</v>
      </c>
      <c r="R59" s="49">
        <f>SUM(R57:R58)</f>
        <v>200002</v>
      </c>
      <c r="S59" s="49">
        <f>SUM(S57:S58)</f>
        <v>160004</v>
      </c>
      <c r="T59" s="49">
        <f>SUM(T57:T58)</f>
        <v>180006</v>
      </c>
      <c r="AA59" t="s">
        <v>89</v>
      </c>
      <c r="AB59" s="49">
        <v>100000</v>
      </c>
      <c r="AC59" s="49">
        <v>100001</v>
      </c>
      <c r="AD59" s="49">
        <v>180002</v>
      </c>
      <c r="AE59" s="49">
        <v>95003</v>
      </c>
    </row>
    <row r="60" spans="3:31" hidden="1" outlineLevel="2">
      <c r="C60" s="51"/>
      <c r="D60" s="51"/>
      <c r="E60" s="51"/>
      <c r="F60" s="51"/>
      <c r="G60" s="51"/>
      <c r="H60" s="52"/>
      <c r="I60" s="52"/>
      <c r="J60" s="52"/>
      <c r="K60" s="52"/>
      <c r="P60" t="s">
        <v>116</v>
      </c>
      <c r="Q60" s="49">
        <f>cansole1!$B$8</f>
        <v>23000</v>
      </c>
      <c r="R60" s="49">
        <f>cansole1!$C$8</f>
        <v>25001</v>
      </c>
      <c r="S60" s="49">
        <f>cansole1!$D$8</f>
        <v>25002</v>
      </c>
      <c r="T60" s="49">
        <f>cansole1!$E$8</f>
        <v>33003</v>
      </c>
      <c r="AB60" s="49"/>
      <c r="AC60" s="49"/>
      <c r="AD60" s="49"/>
      <c r="AE60" s="49"/>
    </row>
    <row r="61" spans="3:31" hidden="1" outlineLevel="2">
      <c r="C61" s="51"/>
      <c r="D61" s="51"/>
      <c r="E61" s="51"/>
      <c r="F61" s="51"/>
      <c r="G61" s="51"/>
      <c r="H61" s="52"/>
      <c r="I61" s="52"/>
      <c r="J61" s="52"/>
      <c r="K61" s="52"/>
      <c r="P61" t="s">
        <v>116</v>
      </c>
      <c r="Q61" s="49">
        <f>cansole2!$B$8</f>
        <v>20000</v>
      </c>
      <c r="R61" s="49">
        <f>cansole2!$C$8</f>
        <v>35001</v>
      </c>
      <c r="S61" s="49">
        <f>cansole2!$D$8</f>
        <v>35002</v>
      </c>
      <c r="T61" s="49">
        <f>cansole2!$E$8</f>
        <v>43003</v>
      </c>
      <c r="AB61" s="49"/>
      <c r="AC61" s="49"/>
      <c r="AD61" s="49"/>
      <c r="AE61" s="49"/>
    </row>
    <row r="62" spans="3:31" hidden="1" outlineLevel="1" collapsed="1">
      <c r="C62" s="51"/>
      <c r="D62" s="51"/>
      <c r="E62" s="51"/>
      <c r="F62" s="51"/>
      <c r="G62" s="51" t="s">
        <v>109</v>
      </c>
      <c r="H62" s="52">
        <f>cansole2!$B$8</f>
        <v>20000</v>
      </c>
      <c r="I62" s="52">
        <f>cansole2!$C$8</f>
        <v>35001</v>
      </c>
      <c r="J62" s="52">
        <f>cansole2!$D$8</f>
        <v>35002</v>
      </c>
      <c r="K62" s="52">
        <f>cansole2!$E$8</f>
        <v>43003</v>
      </c>
      <c r="O62" t="s">
        <v>90</v>
      </c>
      <c r="Q62" s="49">
        <f>SUM(Q60:Q61)</f>
        <v>43000</v>
      </c>
      <c r="R62" s="49">
        <f>SUM(R60:R61)</f>
        <v>60002</v>
      </c>
      <c r="S62" s="49">
        <f>SUM(S60:S61)</f>
        <v>60004</v>
      </c>
      <c r="T62" s="49">
        <f>SUM(T60:T61)</f>
        <v>76006</v>
      </c>
      <c r="AA62" t="s">
        <v>90</v>
      </c>
      <c r="AB62" s="49">
        <v>23000</v>
      </c>
      <c r="AC62" s="49">
        <v>35001</v>
      </c>
      <c r="AD62" s="49">
        <v>35002</v>
      </c>
      <c r="AE62" s="49">
        <v>43003</v>
      </c>
    </row>
    <row r="63" spans="3:31" hidden="1" outlineLevel="1" collapsed="1">
      <c r="C63" s="51"/>
      <c r="D63" s="51"/>
      <c r="E63" s="51"/>
      <c r="F63" s="51"/>
      <c r="G63" s="51" t="s">
        <v>109</v>
      </c>
      <c r="H63" s="52">
        <f>cansole3!$B$8</f>
        <v>20000</v>
      </c>
      <c r="I63" s="52">
        <f>cansole3!$C$8</f>
        <v>24001</v>
      </c>
      <c r="J63" s="52">
        <f>cansole3!$D$8</f>
        <v>35002</v>
      </c>
      <c r="K63" s="52">
        <f>cansole3!$E$8</f>
        <v>33003</v>
      </c>
    </row>
    <row r="64" spans="3:31" collapsed="1">
      <c r="C64" s="51" t="s">
        <v>90</v>
      </c>
      <c r="D64" s="51"/>
      <c r="E64" s="51"/>
      <c r="F64" s="51"/>
      <c r="G64" s="51"/>
      <c r="H64" s="52">
        <f>SUM(H59:H63)</f>
        <v>63000</v>
      </c>
      <c r="I64" s="52">
        <f>SUM(I59:I63)</f>
        <v>84003</v>
      </c>
      <c r="J64" s="52">
        <f>SUM(J59:J63)</f>
        <v>95006</v>
      </c>
      <c r="K64" s="52">
        <f>SUM(K59:K63)</f>
        <v>109009</v>
      </c>
    </row>
    <row r="65" spans="3:31">
      <c r="C65" s="51"/>
      <c r="D65" s="51"/>
      <c r="E65" s="51"/>
      <c r="F65" s="51"/>
      <c r="G65" s="51"/>
      <c r="H65" s="51"/>
      <c r="I65" s="51"/>
      <c r="J65" s="51"/>
      <c r="K65" s="51"/>
      <c r="AA65" s="48" t="s">
        <v>112</v>
      </c>
    </row>
    <row r="66" spans="3:31">
      <c r="AB66" t="s">
        <v>81</v>
      </c>
      <c r="AC66" t="s">
        <v>82</v>
      </c>
      <c r="AD66" t="s">
        <v>83</v>
      </c>
      <c r="AE66" t="s">
        <v>84</v>
      </c>
    </row>
    <row r="67" spans="3:31">
      <c r="C67" s="53" t="s">
        <v>110</v>
      </c>
      <c r="D67" s="53"/>
      <c r="E67" s="53"/>
      <c r="F67" s="53"/>
      <c r="G67" s="54"/>
      <c r="H67" s="54"/>
      <c r="I67" s="54"/>
      <c r="J67" s="54"/>
      <c r="AA67" t="s">
        <v>85</v>
      </c>
      <c r="AB67" s="49">
        <v>116666.66666666667</v>
      </c>
      <c r="AC67" s="49">
        <v>133338.33333333334</v>
      </c>
      <c r="AD67" s="49">
        <v>266666.66666666669</v>
      </c>
      <c r="AE67" s="49">
        <v>396666.66666666669</v>
      </c>
    </row>
    <row r="68" spans="3:31">
      <c r="C68" s="54"/>
      <c r="D68" s="54"/>
      <c r="E68" s="54"/>
      <c r="F68" s="54"/>
      <c r="G68" s="54" t="s">
        <v>81</v>
      </c>
      <c r="H68" s="54" t="s">
        <v>82</v>
      </c>
      <c r="I68" s="54" t="s">
        <v>83</v>
      </c>
      <c r="J68" s="54" t="s">
        <v>84</v>
      </c>
      <c r="AA68" t="s">
        <v>86</v>
      </c>
      <c r="AB68" s="49">
        <v>233333.33333333334</v>
      </c>
      <c r="AC68" s="49">
        <v>340000</v>
      </c>
      <c r="AD68" s="49">
        <v>266666.66666666669</v>
      </c>
      <c r="AE68" s="49">
        <v>533333.33333333337</v>
      </c>
    </row>
    <row r="69" spans="3:31" hidden="1" outlineLevel="1">
      <c r="C69" s="54"/>
      <c r="D69" s="54"/>
      <c r="E69" s="54"/>
      <c r="F69" s="54" t="s">
        <v>109</v>
      </c>
      <c r="G69" s="55">
        <f>cansole1!$B$3</f>
        <v>200000</v>
      </c>
      <c r="H69" s="55">
        <f>cansole1!$C$3</f>
        <v>200005</v>
      </c>
      <c r="I69" s="55">
        <f>cansole1!$D$3</f>
        <v>400000</v>
      </c>
      <c r="J69" s="55">
        <f>cansole1!$E$3</f>
        <v>420000</v>
      </c>
      <c r="AA69" t="s">
        <v>87</v>
      </c>
      <c r="AB69" s="49">
        <v>123333.33333333333</v>
      </c>
      <c r="AC69" s="49">
        <v>143334.33333333334</v>
      </c>
      <c r="AD69" s="49">
        <v>160000</v>
      </c>
      <c r="AE69" s="49">
        <v>170003</v>
      </c>
    </row>
    <row r="70" spans="3:31" hidden="1" outlineLevel="1" collapsed="1">
      <c r="C70" s="54"/>
      <c r="D70" s="54"/>
      <c r="E70" s="54"/>
      <c r="F70" s="54" t="s">
        <v>109</v>
      </c>
      <c r="G70" s="55">
        <f>cansole2!$B$3</f>
        <v>100000</v>
      </c>
      <c r="H70" s="55">
        <f>cansole2!$C$3</f>
        <v>100005</v>
      </c>
      <c r="I70" s="55">
        <f>cansole2!$D$3</f>
        <v>200000</v>
      </c>
      <c r="J70" s="55">
        <f>cansole2!$E$3</f>
        <v>320000</v>
      </c>
      <c r="AA70" t="s">
        <v>88</v>
      </c>
      <c r="AB70" s="49">
        <v>26666.666666666668</v>
      </c>
      <c r="AC70" s="49">
        <v>56667.666666666664</v>
      </c>
      <c r="AD70" s="49">
        <v>36672.666666666664</v>
      </c>
      <c r="AE70" s="49">
        <v>63340.333333333336</v>
      </c>
    </row>
    <row r="71" spans="3:31" hidden="1" outlineLevel="1" collapsed="1">
      <c r="C71" s="54"/>
      <c r="D71" s="54"/>
      <c r="E71" s="54"/>
      <c r="F71" s="54" t="s">
        <v>109</v>
      </c>
      <c r="G71" s="55">
        <f>cansole3!$B$3</f>
        <v>50000</v>
      </c>
      <c r="H71" s="55">
        <f>cansole3!$C$3</f>
        <v>100005</v>
      </c>
      <c r="I71" s="55">
        <f>cansole3!$D$3</f>
        <v>200000</v>
      </c>
      <c r="J71" s="55">
        <f>cansole3!$E$3</f>
        <v>450000</v>
      </c>
      <c r="AA71" t="s">
        <v>89</v>
      </c>
      <c r="AB71" s="49">
        <v>86666.666666666672</v>
      </c>
      <c r="AC71" s="49">
        <v>100001</v>
      </c>
      <c r="AD71" s="49">
        <v>113335.33333333333</v>
      </c>
      <c r="AE71" s="49">
        <v>88336.333333333328</v>
      </c>
    </row>
    <row r="72" spans="3:31" collapsed="1">
      <c r="C72" s="54" t="s">
        <v>85</v>
      </c>
      <c r="D72" s="54"/>
      <c r="E72" s="54"/>
      <c r="F72" s="54"/>
      <c r="G72" s="55">
        <f>MAX(G69:G71)</f>
        <v>200000</v>
      </c>
      <c r="H72" s="55">
        <f>MAX(H69:H71)</f>
        <v>200005</v>
      </c>
      <c r="I72" s="55">
        <f>MAX(I69:I71)</f>
        <v>400000</v>
      </c>
      <c r="J72" s="55">
        <f>MAX(J69:J71)</f>
        <v>450000</v>
      </c>
      <c r="AA72" t="s">
        <v>90</v>
      </c>
      <c r="AB72" s="49">
        <v>21000</v>
      </c>
      <c r="AC72" s="49">
        <v>28001</v>
      </c>
      <c r="AD72" s="49">
        <v>31668.666666666668</v>
      </c>
      <c r="AE72" s="49">
        <v>36336.333333333336</v>
      </c>
    </row>
    <row r="73" spans="3:31" hidden="1" outlineLevel="1">
      <c r="C73" s="54"/>
      <c r="D73" s="54"/>
      <c r="E73" s="54"/>
      <c r="F73" s="54" t="s">
        <v>109</v>
      </c>
      <c r="G73" s="55">
        <f>cansole1!$B$4</f>
        <v>300000</v>
      </c>
      <c r="H73" s="55">
        <f>cansole1!$C$4</f>
        <v>350000</v>
      </c>
      <c r="I73" s="55">
        <f>cansole1!$D$4</f>
        <v>200000</v>
      </c>
      <c r="J73" s="55">
        <f>cansole1!$E$4</f>
        <v>500000</v>
      </c>
    </row>
    <row r="74" spans="3:31" hidden="1" outlineLevel="1" collapsed="1">
      <c r="C74" s="54"/>
      <c r="D74" s="54"/>
      <c r="E74" s="54"/>
      <c r="F74" s="54" t="s">
        <v>109</v>
      </c>
      <c r="G74" s="55">
        <f>cansole2!$B$4</f>
        <v>200000</v>
      </c>
      <c r="H74" s="55">
        <f>cansole2!$C$4</f>
        <v>320000</v>
      </c>
      <c r="I74" s="55">
        <f>cansole2!$D$4</f>
        <v>300000</v>
      </c>
      <c r="J74" s="55">
        <f>cansole2!$E$4</f>
        <v>700000</v>
      </c>
    </row>
    <row r="75" spans="3:31" hidden="1" outlineLevel="1" collapsed="1">
      <c r="C75" s="54"/>
      <c r="D75" s="54"/>
      <c r="E75" s="54"/>
      <c r="F75" s="54" t="s">
        <v>109</v>
      </c>
      <c r="G75" s="55">
        <f>cansole3!$B$4</f>
        <v>200000</v>
      </c>
      <c r="H75" s="55">
        <f>cansole3!$C$4</f>
        <v>350000</v>
      </c>
      <c r="I75" s="55">
        <f>cansole3!$D$4</f>
        <v>300000</v>
      </c>
      <c r="J75" s="55">
        <f>cansole3!$E$4</f>
        <v>400000</v>
      </c>
    </row>
    <row r="76" spans="3:31" collapsed="1">
      <c r="C76" s="54" t="s">
        <v>86</v>
      </c>
      <c r="D76" s="54"/>
      <c r="E76" s="54"/>
      <c r="F76" s="54"/>
      <c r="G76" s="55">
        <f>MAX(G73:G75)</f>
        <v>300000</v>
      </c>
      <c r="H76" s="55">
        <f>MAX(H73:H75)</f>
        <v>350000</v>
      </c>
      <c r="I76" s="55">
        <f>MAX(I73:I75)</f>
        <v>300000</v>
      </c>
      <c r="J76" s="55">
        <f>MAX(J73:J75)</f>
        <v>700000</v>
      </c>
    </row>
    <row r="77" spans="3:31" hidden="1" outlineLevel="1">
      <c r="C77" s="54"/>
      <c r="D77" s="54"/>
      <c r="E77" s="54"/>
      <c r="F77" s="54" t="s">
        <v>109</v>
      </c>
      <c r="G77" s="55">
        <f>cansole1!$B$5</f>
        <v>120000</v>
      </c>
      <c r="H77" s="55">
        <f>cansole1!$C$5</f>
        <v>120001</v>
      </c>
      <c r="I77" s="55">
        <f>cansole1!$D$5</f>
        <v>150000</v>
      </c>
      <c r="J77" s="55">
        <f>cansole1!$E$5</f>
        <v>160003</v>
      </c>
    </row>
    <row r="78" spans="3:31" hidden="1" outlineLevel="1" collapsed="1">
      <c r="C78" s="54"/>
      <c r="D78" s="54"/>
      <c r="E78" s="54"/>
      <c r="F78" s="54" t="s">
        <v>109</v>
      </c>
      <c r="G78" s="55">
        <f>cansole2!$B$5</f>
        <v>100000</v>
      </c>
      <c r="H78" s="55">
        <f>cansole2!$C$5</f>
        <v>150001</v>
      </c>
      <c r="I78" s="55">
        <f>cansole2!$D$5</f>
        <v>150000</v>
      </c>
      <c r="J78" s="55">
        <f>cansole2!$E$5</f>
        <v>180003</v>
      </c>
    </row>
    <row r="79" spans="3:31" hidden="1" outlineLevel="1" collapsed="1">
      <c r="C79" s="54"/>
      <c r="D79" s="54"/>
      <c r="E79" s="54"/>
      <c r="F79" s="54" t="s">
        <v>109</v>
      </c>
      <c r="G79" s="55">
        <f>cansole3!$B$5</f>
        <v>150000</v>
      </c>
      <c r="H79" s="55">
        <f>cansole3!$C$5</f>
        <v>160001</v>
      </c>
      <c r="I79" s="55">
        <f>cansole3!$D$5</f>
        <v>180000</v>
      </c>
      <c r="J79" s="55">
        <f>cansole3!$E$5</f>
        <v>170003</v>
      </c>
    </row>
    <row r="80" spans="3:31" collapsed="1">
      <c r="C80" s="54" t="s">
        <v>87</v>
      </c>
      <c r="D80" s="54"/>
      <c r="E80" s="54"/>
      <c r="F80" s="54"/>
      <c r="G80" s="55">
        <f>MAX(G77:G79)</f>
        <v>150000</v>
      </c>
      <c r="H80" s="55">
        <f>MAX(H77:H79)</f>
        <v>160001</v>
      </c>
      <c r="I80" s="55">
        <f>MAX(I77:I79)</f>
        <v>180000</v>
      </c>
      <c r="J80" s="55">
        <f>MAX(J77:J79)</f>
        <v>180003</v>
      </c>
    </row>
    <row r="81" spans="3:10" hidden="1" outlineLevel="1">
      <c r="C81" s="54"/>
      <c r="D81" s="54"/>
      <c r="E81" s="54"/>
      <c r="F81" s="54" t="s">
        <v>109</v>
      </c>
      <c r="G81" s="55">
        <f>cansole1!$B$6</f>
        <v>40000</v>
      </c>
      <c r="H81" s="55">
        <f>cansole1!$C$6</f>
        <v>50001</v>
      </c>
      <c r="I81" s="55">
        <f>cansole1!$D$6</f>
        <v>40006</v>
      </c>
      <c r="J81" s="55">
        <f>cansole1!$E$6</f>
        <v>60007</v>
      </c>
    </row>
    <row r="82" spans="3:10" hidden="1" outlineLevel="1" collapsed="1">
      <c r="C82" s="54"/>
      <c r="D82" s="54"/>
      <c r="E82" s="54"/>
      <c r="F82" s="54" t="s">
        <v>109</v>
      </c>
      <c r="G82" s="55">
        <f>cansole2!$B$6</f>
        <v>20000</v>
      </c>
      <c r="H82" s="55">
        <f>cansole2!$C$6</f>
        <v>50001</v>
      </c>
      <c r="I82" s="55">
        <f>cansole2!$D$6</f>
        <v>30006</v>
      </c>
      <c r="J82" s="55">
        <f>cansole2!$E$6</f>
        <v>70007</v>
      </c>
    </row>
    <row r="83" spans="3:10" hidden="1" outlineLevel="1" collapsed="1">
      <c r="C83" s="54"/>
      <c r="D83" s="54"/>
      <c r="E83" s="54"/>
      <c r="F83" s="54" t="s">
        <v>109</v>
      </c>
      <c r="G83" s="55">
        <f>cansole3!$B$6</f>
        <v>20000</v>
      </c>
      <c r="H83" s="55">
        <f>cansole3!$C$6</f>
        <v>70001</v>
      </c>
      <c r="I83" s="55">
        <f>cansole3!$D$6</f>
        <v>40006</v>
      </c>
      <c r="J83" s="55">
        <f>cansole3!$E$6</f>
        <v>60007</v>
      </c>
    </row>
    <row r="84" spans="3:10" collapsed="1">
      <c r="C84" s="54" t="s">
        <v>88</v>
      </c>
      <c r="D84" s="54"/>
      <c r="E84" s="54"/>
      <c r="F84" s="54"/>
      <c r="G84" s="55">
        <f>MAX(G81:G83)</f>
        <v>40000</v>
      </c>
      <c r="H84" s="55">
        <f>MAX(H81:H83)</f>
        <v>70001</v>
      </c>
      <c r="I84" s="55">
        <f>MAX(I81:I83)</f>
        <v>40006</v>
      </c>
      <c r="J84" s="55">
        <f>MAX(J81:J83)</f>
        <v>70007</v>
      </c>
    </row>
    <row r="85" spans="3:10" hidden="1" outlineLevel="1">
      <c r="C85" s="54"/>
      <c r="D85" s="54"/>
      <c r="E85" s="54"/>
      <c r="F85" s="54" t="s">
        <v>109</v>
      </c>
      <c r="G85" s="55">
        <f>cansole1!$B$7</f>
        <v>90000</v>
      </c>
      <c r="H85" s="55">
        <f>cansole1!$C$7</f>
        <v>100001</v>
      </c>
      <c r="I85" s="55">
        <f>cansole1!$D$7</f>
        <v>80002</v>
      </c>
      <c r="J85" s="55">
        <f>cansole1!$E$7</f>
        <v>85003</v>
      </c>
    </row>
    <row r="86" spans="3:10" hidden="1" outlineLevel="1" collapsed="1">
      <c r="C86" s="54"/>
      <c r="D86" s="54"/>
      <c r="E86" s="54"/>
      <c r="F86" s="54" t="s">
        <v>109</v>
      </c>
      <c r="G86" s="55">
        <f>cansole2!$B$7</f>
        <v>100000</v>
      </c>
      <c r="H86" s="55">
        <f>cansole2!$C$7</f>
        <v>100001</v>
      </c>
      <c r="I86" s="55">
        <f>cansole2!$D$7</f>
        <v>80002</v>
      </c>
      <c r="J86" s="55">
        <f>cansole2!$E$7</f>
        <v>95003</v>
      </c>
    </row>
    <row r="87" spans="3:10" hidden="1" outlineLevel="1" collapsed="1">
      <c r="C87" s="54"/>
      <c r="D87" s="54"/>
      <c r="E87" s="54"/>
      <c r="F87" s="54" t="s">
        <v>109</v>
      </c>
      <c r="G87" s="55">
        <f>cansole3!$B$7</f>
        <v>70000</v>
      </c>
      <c r="H87" s="55">
        <f>cansole3!$C$7</f>
        <v>100001</v>
      </c>
      <c r="I87" s="55">
        <f>cansole3!$D$7</f>
        <v>180002</v>
      </c>
      <c r="J87" s="55">
        <f>cansole3!$E$7</f>
        <v>85003</v>
      </c>
    </row>
    <row r="88" spans="3:10" collapsed="1">
      <c r="C88" s="54" t="s">
        <v>89</v>
      </c>
      <c r="D88" s="54"/>
      <c r="E88" s="54"/>
      <c r="F88" s="54"/>
      <c r="G88" s="55">
        <f>MAX(G85:G87)</f>
        <v>100000</v>
      </c>
      <c r="H88" s="55">
        <f>MAX(H85:H87)</f>
        <v>100001</v>
      </c>
      <c r="I88" s="55">
        <f>MAX(I85:I87)</f>
        <v>180002</v>
      </c>
      <c r="J88" s="55">
        <f>MAX(J85:J87)</f>
        <v>95003</v>
      </c>
    </row>
    <row r="89" spans="3:10" hidden="1" outlineLevel="1">
      <c r="C89" s="54"/>
      <c r="D89" s="54"/>
      <c r="E89" s="54"/>
      <c r="F89" s="54" t="s">
        <v>109</v>
      </c>
      <c r="G89" s="55">
        <f>cansole1!$B$8</f>
        <v>23000</v>
      </c>
      <c r="H89" s="55">
        <f>cansole1!$C$8</f>
        <v>25001</v>
      </c>
      <c r="I89" s="55">
        <f>cansole1!$D$8</f>
        <v>25002</v>
      </c>
      <c r="J89" s="55">
        <f>cansole1!$E$8</f>
        <v>33003</v>
      </c>
    </row>
    <row r="90" spans="3:10" hidden="1" outlineLevel="1" collapsed="1">
      <c r="C90" s="54"/>
      <c r="D90" s="54"/>
      <c r="E90" s="54"/>
      <c r="F90" s="54" t="s">
        <v>109</v>
      </c>
      <c r="G90" s="55">
        <f>cansole2!$B$8</f>
        <v>20000</v>
      </c>
      <c r="H90" s="55">
        <f>cansole2!$C$8</f>
        <v>35001</v>
      </c>
      <c r="I90" s="55">
        <f>cansole2!$D$8</f>
        <v>35002</v>
      </c>
      <c r="J90" s="55">
        <f>cansole2!$E$8</f>
        <v>43003</v>
      </c>
    </row>
    <row r="91" spans="3:10" hidden="1" outlineLevel="1" collapsed="1">
      <c r="C91" s="54"/>
      <c r="D91" s="54"/>
      <c r="E91" s="54"/>
      <c r="F91" s="54" t="s">
        <v>109</v>
      </c>
      <c r="G91" s="55">
        <f>cansole3!$B$8</f>
        <v>20000</v>
      </c>
      <c r="H91" s="55">
        <f>cansole3!$C$8</f>
        <v>24001</v>
      </c>
      <c r="I91" s="55">
        <f>cansole3!$D$8</f>
        <v>35002</v>
      </c>
      <c r="J91" s="55">
        <f>cansole3!$E$8</f>
        <v>33003</v>
      </c>
    </row>
    <row r="92" spans="3:10" collapsed="1">
      <c r="C92" s="54" t="s">
        <v>90</v>
      </c>
      <c r="D92" s="54"/>
      <c r="E92" s="54"/>
      <c r="F92" s="54"/>
      <c r="G92" s="55">
        <f>MAX(G89:G91)</f>
        <v>23000</v>
      </c>
      <c r="H92" s="55">
        <f>MAX(H89:H91)</f>
        <v>35001</v>
      </c>
      <c r="I92" s="55">
        <f>MAX(I89:I91)</f>
        <v>35002</v>
      </c>
      <c r="J92" s="55">
        <f>MAX(J89:J91)</f>
        <v>43003</v>
      </c>
    </row>
    <row r="94" spans="3:10">
      <c r="C94" s="56" t="s">
        <v>111</v>
      </c>
      <c r="D94" s="56"/>
      <c r="E94" s="56"/>
      <c r="F94" s="57"/>
      <c r="G94" s="57"/>
      <c r="H94" s="57"/>
      <c r="I94" s="57"/>
    </row>
    <row r="95" spans="3:10">
      <c r="C95" s="57"/>
      <c r="D95" s="57"/>
      <c r="E95" s="57"/>
      <c r="F95" s="57" t="s">
        <v>81</v>
      </c>
      <c r="G95" s="57" t="s">
        <v>82</v>
      </c>
      <c r="H95" s="57" t="s">
        <v>83</v>
      </c>
      <c r="I95" s="57" t="s">
        <v>84</v>
      </c>
    </row>
    <row r="96" spans="3:10" hidden="1" outlineLevel="1">
      <c r="C96" s="57"/>
      <c r="D96" s="57" t="s">
        <v>109</v>
      </c>
      <c r="E96" s="57"/>
      <c r="F96" s="58">
        <f>cansole1!$B$3</f>
        <v>200000</v>
      </c>
      <c r="G96" s="58">
        <f>cansole1!$C$3</f>
        <v>200005</v>
      </c>
      <c r="H96" s="58">
        <f>cansole1!$D$3</f>
        <v>400000</v>
      </c>
      <c r="I96" s="58">
        <f>cansole1!$E$3</f>
        <v>420000</v>
      </c>
    </row>
    <row r="97" spans="3:9" hidden="1" outlineLevel="1" collapsed="1">
      <c r="C97" s="57"/>
      <c r="D97" s="57" t="s">
        <v>109</v>
      </c>
      <c r="E97" s="57"/>
      <c r="F97" s="58">
        <f>cansole2!$B$3</f>
        <v>100000</v>
      </c>
      <c r="G97" s="58">
        <f>cansole2!$C$3</f>
        <v>100005</v>
      </c>
      <c r="H97" s="58">
        <f>cansole2!$D$3</f>
        <v>200000</v>
      </c>
      <c r="I97" s="58">
        <f>cansole2!$E$3</f>
        <v>320000</v>
      </c>
    </row>
    <row r="98" spans="3:9" hidden="1" outlineLevel="1" collapsed="1">
      <c r="C98" s="57"/>
      <c r="D98" s="57" t="s">
        <v>109</v>
      </c>
      <c r="E98" s="57"/>
      <c r="F98" s="58">
        <f>cansole3!$B$3</f>
        <v>50000</v>
      </c>
      <c r="G98" s="58">
        <f>cansole3!$C$3</f>
        <v>100005</v>
      </c>
      <c r="H98" s="58">
        <f>cansole3!$D$3</f>
        <v>200000</v>
      </c>
      <c r="I98" s="58">
        <f>cansole3!$E$3</f>
        <v>450000</v>
      </c>
    </row>
    <row r="99" spans="3:9" collapsed="1">
      <c r="C99" s="57" t="s">
        <v>85</v>
      </c>
      <c r="D99" s="57"/>
      <c r="E99" s="57"/>
      <c r="F99" s="58">
        <f>MIN(F96:F98)</f>
        <v>50000</v>
      </c>
      <c r="G99" s="58">
        <f>MIN(G96:G98)</f>
        <v>100005</v>
      </c>
      <c r="H99" s="58">
        <f>MIN(H96:H98)</f>
        <v>200000</v>
      </c>
      <c r="I99" s="58">
        <f>MIN(I96:I98)</f>
        <v>320000</v>
      </c>
    </row>
    <row r="100" spans="3:9" hidden="1" outlineLevel="1">
      <c r="C100" s="57"/>
      <c r="D100" s="57" t="s">
        <v>109</v>
      </c>
      <c r="E100" s="57"/>
      <c r="F100" s="58">
        <f>cansole1!$B$4</f>
        <v>300000</v>
      </c>
      <c r="G100" s="58">
        <f>cansole1!$C$4</f>
        <v>350000</v>
      </c>
      <c r="H100" s="58">
        <f>cansole1!$D$4</f>
        <v>200000</v>
      </c>
      <c r="I100" s="58">
        <f>cansole1!$E$4</f>
        <v>500000</v>
      </c>
    </row>
    <row r="101" spans="3:9" hidden="1" outlineLevel="1" collapsed="1">
      <c r="C101" s="57"/>
      <c r="D101" s="57" t="s">
        <v>109</v>
      </c>
      <c r="E101" s="57"/>
      <c r="F101" s="58">
        <f>cansole2!$B$4</f>
        <v>200000</v>
      </c>
      <c r="G101" s="58">
        <f>cansole2!$C$4</f>
        <v>320000</v>
      </c>
      <c r="H101" s="58">
        <f>cansole2!$D$4</f>
        <v>300000</v>
      </c>
      <c r="I101" s="58">
        <f>cansole2!$E$4</f>
        <v>700000</v>
      </c>
    </row>
    <row r="102" spans="3:9" hidden="1" outlineLevel="1" collapsed="1">
      <c r="C102" s="57"/>
      <c r="D102" s="57" t="s">
        <v>109</v>
      </c>
      <c r="E102" s="57"/>
      <c r="F102" s="58">
        <f>cansole3!$B$4</f>
        <v>200000</v>
      </c>
      <c r="G102" s="58">
        <f>cansole3!$C$4</f>
        <v>350000</v>
      </c>
      <c r="H102" s="58">
        <f>cansole3!$D$4</f>
        <v>300000</v>
      </c>
      <c r="I102" s="58">
        <f>cansole3!$E$4</f>
        <v>400000</v>
      </c>
    </row>
    <row r="103" spans="3:9" collapsed="1">
      <c r="C103" s="57" t="s">
        <v>86</v>
      </c>
      <c r="D103" s="57"/>
      <c r="E103" s="57"/>
      <c r="F103" s="58">
        <f>MIN(F100:F102)</f>
        <v>200000</v>
      </c>
      <c r="G103" s="58">
        <f>MIN(G100:G102)</f>
        <v>320000</v>
      </c>
      <c r="H103" s="58">
        <f>MIN(H100:H102)</f>
        <v>200000</v>
      </c>
      <c r="I103" s="58">
        <f>MIN(I100:I102)</f>
        <v>400000</v>
      </c>
    </row>
    <row r="104" spans="3:9" hidden="1" outlineLevel="1">
      <c r="C104" s="57"/>
      <c r="D104" s="57" t="s">
        <v>109</v>
      </c>
      <c r="E104" s="57"/>
      <c r="F104" s="58">
        <f>cansole1!$B$5</f>
        <v>120000</v>
      </c>
      <c r="G104" s="58">
        <f>cansole1!$C$5</f>
        <v>120001</v>
      </c>
      <c r="H104" s="58">
        <f>cansole1!$D$5</f>
        <v>150000</v>
      </c>
      <c r="I104" s="58">
        <f>cansole1!$E$5</f>
        <v>160003</v>
      </c>
    </row>
    <row r="105" spans="3:9" hidden="1" outlineLevel="1" collapsed="1">
      <c r="C105" s="57"/>
      <c r="D105" s="57" t="s">
        <v>109</v>
      </c>
      <c r="E105" s="57"/>
      <c r="F105" s="58">
        <f>cansole2!$B$5</f>
        <v>100000</v>
      </c>
      <c r="G105" s="58">
        <f>cansole2!$C$5</f>
        <v>150001</v>
      </c>
      <c r="H105" s="58">
        <f>cansole2!$D$5</f>
        <v>150000</v>
      </c>
      <c r="I105" s="58">
        <f>cansole2!$E$5</f>
        <v>180003</v>
      </c>
    </row>
    <row r="106" spans="3:9" hidden="1" outlineLevel="1" collapsed="1">
      <c r="C106" s="57"/>
      <c r="D106" s="57" t="s">
        <v>109</v>
      </c>
      <c r="E106" s="57"/>
      <c r="F106" s="58">
        <f>cansole3!$B$5</f>
        <v>150000</v>
      </c>
      <c r="G106" s="58">
        <f>cansole3!$C$5</f>
        <v>160001</v>
      </c>
      <c r="H106" s="58">
        <f>cansole3!$D$5</f>
        <v>180000</v>
      </c>
      <c r="I106" s="58">
        <f>cansole3!$E$5</f>
        <v>170003</v>
      </c>
    </row>
    <row r="107" spans="3:9" collapsed="1">
      <c r="C107" s="57" t="s">
        <v>87</v>
      </c>
      <c r="D107" s="57"/>
      <c r="E107" s="57"/>
      <c r="F107" s="58">
        <f>MIN(F104:F106)</f>
        <v>100000</v>
      </c>
      <c r="G107" s="58">
        <f>MIN(G104:G106)</f>
        <v>120001</v>
      </c>
      <c r="H107" s="58">
        <f>MIN(H104:H106)</f>
        <v>150000</v>
      </c>
      <c r="I107" s="58">
        <f>MIN(I104:I106)</f>
        <v>160003</v>
      </c>
    </row>
    <row r="108" spans="3:9" hidden="1" outlineLevel="1">
      <c r="C108" s="57"/>
      <c r="D108" s="57" t="s">
        <v>109</v>
      </c>
      <c r="E108" s="57"/>
      <c r="F108" s="58">
        <f>cansole1!$B$6</f>
        <v>40000</v>
      </c>
      <c r="G108" s="58">
        <f>cansole1!$C$6</f>
        <v>50001</v>
      </c>
      <c r="H108" s="58">
        <f>cansole1!$D$6</f>
        <v>40006</v>
      </c>
      <c r="I108" s="58">
        <f>cansole1!$E$6</f>
        <v>60007</v>
      </c>
    </row>
    <row r="109" spans="3:9" hidden="1" outlineLevel="1" collapsed="1">
      <c r="C109" s="57"/>
      <c r="D109" s="57" t="s">
        <v>109</v>
      </c>
      <c r="E109" s="57"/>
      <c r="F109" s="58">
        <f>cansole2!$B$6</f>
        <v>20000</v>
      </c>
      <c r="G109" s="58">
        <f>cansole2!$C$6</f>
        <v>50001</v>
      </c>
      <c r="H109" s="58">
        <f>cansole2!$D$6</f>
        <v>30006</v>
      </c>
      <c r="I109" s="58">
        <f>cansole2!$E$6</f>
        <v>70007</v>
      </c>
    </row>
    <row r="110" spans="3:9" hidden="1" outlineLevel="1" collapsed="1">
      <c r="C110" s="57"/>
      <c r="D110" s="57" t="s">
        <v>109</v>
      </c>
      <c r="E110" s="57"/>
      <c r="F110" s="58">
        <f>cansole3!$B$6</f>
        <v>20000</v>
      </c>
      <c r="G110" s="58">
        <f>cansole3!$C$6</f>
        <v>70001</v>
      </c>
      <c r="H110" s="58">
        <f>cansole3!$D$6</f>
        <v>40006</v>
      </c>
      <c r="I110" s="58">
        <f>cansole3!$E$6</f>
        <v>60007</v>
      </c>
    </row>
    <row r="111" spans="3:9" collapsed="1">
      <c r="C111" s="57" t="s">
        <v>88</v>
      </c>
      <c r="D111" s="57"/>
      <c r="E111" s="57"/>
      <c r="F111" s="58">
        <f>MIN(F108:F110)</f>
        <v>20000</v>
      </c>
      <c r="G111" s="58">
        <f>MIN(G108:G110)</f>
        <v>50001</v>
      </c>
      <c r="H111" s="58">
        <f>MIN(H108:H110)</f>
        <v>30006</v>
      </c>
      <c r="I111" s="58">
        <f>MIN(I108:I110)</f>
        <v>60007</v>
      </c>
    </row>
    <row r="112" spans="3:9" hidden="1" outlineLevel="1">
      <c r="C112" s="57"/>
      <c r="D112" s="57" t="s">
        <v>109</v>
      </c>
      <c r="E112" s="57"/>
      <c r="F112" s="58">
        <f>cansole1!$B$7</f>
        <v>90000</v>
      </c>
      <c r="G112" s="58">
        <f>cansole1!$C$7</f>
        <v>100001</v>
      </c>
      <c r="H112" s="58">
        <f>cansole1!$D$7</f>
        <v>80002</v>
      </c>
      <c r="I112" s="58">
        <f>cansole1!$E$7</f>
        <v>85003</v>
      </c>
    </row>
    <row r="113" spans="3:9" hidden="1" outlineLevel="1" collapsed="1">
      <c r="C113" s="57"/>
      <c r="D113" s="57" t="s">
        <v>109</v>
      </c>
      <c r="E113" s="57"/>
      <c r="F113" s="58">
        <f>cansole2!$B$7</f>
        <v>100000</v>
      </c>
      <c r="G113" s="58">
        <f>cansole2!$C$7</f>
        <v>100001</v>
      </c>
      <c r="H113" s="58">
        <f>cansole2!$D$7</f>
        <v>80002</v>
      </c>
      <c r="I113" s="58">
        <f>cansole2!$E$7</f>
        <v>95003</v>
      </c>
    </row>
    <row r="114" spans="3:9" hidden="1" outlineLevel="1" collapsed="1">
      <c r="C114" s="57"/>
      <c r="D114" s="57" t="s">
        <v>109</v>
      </c>
      <c r="E114" s="57"/>
      <c r="F114" s="58">
        <f>cansole3!$B$7</f>
        <v>70000</v>
      </c>
      <c r="G114" s="58">
        <f>cansole3!$C$7</f>
        <v>100001</v>
      </c>
      <c r="H114" s="58">
        <f>cansole3!$D$7</f>
        <v>180002</v>
      </c>
      <c r="I114" s="58">
        <f>cansole3!$E$7</f>
        <v>85003</v>
      </c>
    </row>
    <row r="115" spans="3:9" collapsed="1">
      <c r="C115" s="57" t="s">
        <v>89</v>
      </c>
      <c r="D115" s="57"/>
      <c r="E115" s="57"/>
      <c r="F115" s="58">
        <f>MIN(F112:F114)</f>
        <v>70000</v>
      </c>
      <c r="G115" s="58">
        <f>MIN(G112:G114)</f>
        <v>100001</v>
      </c>
      <c r="H115" s="58">
        <f>MIN(H112:H114)</f>
        <v>80002</v>
      </c>
      <c r="I115" s="58">
        <f>MIN(I112:I114)</f>
        <v>85003</v>
      </c>
    </row>
    <row r="116" spans="3:9" hidden="1" outlineLevel="1">
      <c r="C116" s="57"/>
      <c r="D116" s="57" t="s">
        <v>109</v>
      </c>
      <c r="E116" s="57"/>
      <c r="F116" s="58">
        <f>cansole1!$B$8</f>
        <v>23000</v>
      </c>
      <c r="G116" s="58">
        <f>cansole1!$C$8</f>
        <v>25001</v>
      </c>
      <c r="H116" s="58">
        <f>cansole1!$D$8</f>
        <v>25002</v>
      </c>
      <c r="I116" s="58">
        <f>cansole1!$E$8</f>
        <v>33003</v>
      </c>
    </row>
    <row r="117" spans="3:9" hidden="1" outlineLevel="1" collapsed="1">
      <c r="C117" s="57"/>
      <c r="D117" s="57" t="s">
        <v>109</v>
      </c>
      <c r="E117" s="57"/>
      <c r="F117" s="58">
        <f>cansole2!$B$8</f>
        <v>20000</v>
      </c>
      <c r="G117" s="58">
        <f>cansole2!$C$8</f>
        <v>35001</v>
      </c>
      <c r="H117" s="58">
        <f>cansole2!$D$8</f>
        <v>35002</v>
      </c>
      <c r="I117" s="58">
        <f>cansole2!$E$8</f>
        <v>43003</v>
      </c>
    </row>
    <row r="118" spans="3:9" hidden="1" outlineLevel="1" collapsed="1">
      <c r="C118" s="57"/>
      <c r="D118" s="57" t="s">
        <v>109</v>
      </c>
      <c r="E118" s="57"/>
      <c r="F118" s="58">
        <f>cansole3!$B$8</f>
        <v>20000</v>
      </c>
      <c r="G118" s="58">
        <f>cansole3!$C$8</f>
        <v>24001</v>
      </c>
      <c r="H118" s="58">
        <f>cansole3!$D$8</f>
        <v>35002</v>
      </c>
      <c r="I118" s="58">
        <f>cansole3!$E$8</f>
        <v>33003</v>
      </c>
    </row>
    <row r="119" spans="3:9" collapsed="1">
      <c r="C119" s="57" t="s">
        <v>90</v>
      </c>
      <c r="D119" s="57"/>
      <c r="E119" s="57"/>
      <c r="F119" s="58">
        <f>MIN(F116:F118)</f>
        <v>20000</v>
      </c>
      <c r="G119" s="58">
        <f>MIN(G116:G118)</f>
        <v>24001</v>
      </c>
      <c r="H119" s="58">
        <f>MIN(H116:H118)</f>
        <v>25002</v>
      </c>
      <c r="I119" s="58">
        <f>MIN(I116:I118)</f>
        <v>33003</v>
      </c>
    </row>
    <row r="120" spans="3:9">
      <c r="C120" s="57"/>
      <c r="D120" s="57"/>
      <c r="E120" s="57"/>
      <c r="F120" s="57"/>
      <c r="G120" s="57"/>
      <c r="H120" s="57"/>
      <c r="I120" s="57"/>
    </row>
    <row r="123" spans="3:9">
      <c r="D123" s="59" t="s">
        <v>112</v>
      </c>
      <c r="E123" s="59"/>
      <c r="F123" s="60"/>
      <c r="G123" s="60"/>
      <c r="H123" s="60"/>
      <c r="I123" s="60"/>
    </row>
    <row r="124" spans="3:9">
      <c r="D124" s="60"/>
      <c r="E124" s="60"/>
      <c r="F124" s="60" t="s">
        <v>81</v>
      </c>
      <c r="G124" s="60" t="s">
        <v>82</v>
      </c>
      <c r="H124" s="60" t="s">
        <v>83</v>
      </c>
      <c r="I124" s="60" t="s">
        <v>84</v>
      </c>
    </row>
    <row r="125" spans="3:9" hidden="1" outlineLevel="1">
      <c r="D125" s="60"/>
      <c r="E125" s="60" t="s">
        <v>109</v>
      </c>
      <c r="F125" s="61">
        <f>cansole1!$B$3</f>
        <v>200000</v>
      </c>
      <c r="G125" s="61">
        <f>cansole1!$C$3</f>
        <v>200005</v>
      </c>
      <c r="H125" s="61">
        <f>cansole1!$D$3</f>
        <v>400000</v>
      </c>
      <c r="I125" s="61">
        <f>cansole1!$E$3</f>
        <v>420000</v>
      </c>
    </row>
    <row r="126" spans="3:9" hidden="1" outlineLevel="1" collapsed="1">
      <c r="D126" s="60"/>
      <c r="E126" s="60" t="s">
        <v>109</v>
      </c>
      <c r="F126" s="61">
        <f>cansole2!$B$3</f>
        <v>100000</v>
      </c>
      <c r="G126" s="61">
        <f>cansole2!$C$3</f>
        <v>100005</v>
      </c>
      <c r="H126" s="61">
        <f>cansole2!$D$3</f>
        <v>200000</v>
      </c>
      <c r="I126" s="61">
        <f>cansole2!$E$3</f>
        <v>320000</v>
      </c>
    </row>
    <row r="127" spans="3:9" hidden="1" outlineLevel="1" collapsed="1">
      <c r="D127" s="60"/>
      <c r="E127" s="60" t="s">
        <v>109</v>
      </c>
      <c r="F127" s="61">
        <f>cansole3!$B$3</f>
        <v>50000</v>
      </c>
      <c r="G127" s="61">
        <f>cansole3!$C$3</f>
        <v>100005</v>
      </c>
      <c r="H127" s="61">
        <f>cansole3!$D$3</f>
        <v>200000</v>
      </c>
      <c r="I127" s="61">
        <f>cansole3!$E$3</f>
        <v>450000</v>
      </c>
    </row>
    <row r="128" spans="3:9" collapsed="1">
      <c r="D128" s="60" t="s">
        <v>85</v>
      </c>
      <c r="E128" s="60"/>
      <c r="F128" s="61">
        <f>AVERAGE(F125:F127)</f>
        <v>116666.66666666667</v>
      </c>
      <c r="G128" s="61">
        <f>AVERAGE(G125:G127)</f>
        <v>133338.33333333334</v>
      </c>
      <c r="H128" s="61">
        <f>AVERAGE(H125:H127)</f>
        <v>266666.66666666669</v>
      </c>
      <c r="I128" s="61">
        <f>AVERAGE(I125:I127)</f>
        <v>396666.66666666669</v>
      </c>
    </row>
    <row r="129" spans="4:9" hidden="1" outlineLevel="1">
      <c r="D129" s="60"/>
      <c r="E129" s="60" t="s">
        <v>109</v>
      </c>
      <c r="F129" s="61">
        <f>cansole1!$B$4</f>
        <v>300000</v>
      </c>
      <c r="G129" s="61">
        <f>cansole1!$C$4</f>
        <v>350000</v>
      </c>
      <c r="H129" s="61">
        <f>cansole1!$D$4</f>
        <v>200000</v>
      </c>
      <c r="I129" s="61">
        <f>cansole1!$E$4</f>
        <v>500000</v>
      </c>
    </row>
    <row r="130" spans="4:9" hidden="1" outlineLevel="1" collapsed="1">
      <c r="D130" s="60"/>
      <c r="E130" s="60" t="s">
        <v>109</v>
      </c>
      <c r="F130" s="61">
        <f>cansole2!$B$4</f>
        <v>200000</v>
      </c>
      <c r="G130" s="61">
        <f>cansole2!$C$4</f>
        <v>320000</v>
      </c>
      <c r="H130" s="61">
        <f>cansole2!$D$4</f>
        <v>300000</v>
      </c>
      <c r="I130" s="61">
        <f>cansole2!$E$4</f>
        <v>700000</v>
      </c>
    </row>
    <row r="131" spans="4:9" hidden="1" outlineLevel="1" collapsed="1">
      <c r="D131" s="60"/>
      <c r="E131" s="60" t="s">
        <v>109</v>
      </c>
      <c r="F131" s="61">
        <f>cansole3!$B$4</f>
        <v>200000</v>
      </c>
      <c r="G131" s="61">
        <f>cansole3!$C$4</f>
        <v>350000</v>
      </c>
      <c r="H131" s="61">
        <f>cansole3!$D$4</f>
        <v>300000</v>
      </c>
      <c r="I131" s="61">
        <f>cansole3!$E$4</f>
        <v>400000</v>
      </c>
    </row>
    <row r="132" spans="4:9" collapsed="1">
      <c r="D132" s="60" t="s">
        <v>86</v>
      </c>
      <c r="E132" s="60"/>
      <c r="F132" s="61">
        <f>AVERAGE(F129:F131)</f>
        <v>233333.33333333334</v>
      </c>
      <c r="G132" s="61">
        <f>AVERAGE(G129:G131)</f>
        <v>340000</v>
      </c>
      <c r="H132" s="61">
        <f>AVERAGE(H129:H131)</f>
        <v>266666.66666666669</v>
      </c>
      <c r="I132" s="61">
        <f>AVERAGE(I129:I131)</f>
        <v>533333.33333333337</v>
      </c>
    </row>
    <row r="133" spans="4:9" hidden="1" outlineLevel="1">
      <c r="D133" s="60"/>
      <c r="E133" s="60" t="s">
        <v>109</v>
      </c>
      <c r="F133" s="61">
        <f>cansole1!$B$5</f>
        <v>120000</v>
      </c>
      <c r="G133" s="61">
        <f>cansole1!$C$5</f>
        <v>120001</v>
      </c>
      <c r="H133" s="61">
        <f>cansole1!$D$5</f>
        <v>150000</v>
      </c>
      <c r="I133" s="61">
        <f>cansole1!$E$5</f>
        <v>160003</v>
      </c>
    </row>
    <row r="134" spans="4:9" hidden="1" outlineLevel="1" collapsed="1">
      <c r="D134" s="60"/>
      <c r="E134" s="60" t="s">
        <v>109</v>
      </c>
      <c r="F134" s="61">
        <f>cansole2!$B$5</f>
        <v>100000</v>
      </c>
      <c r="G134" s="61">
        <f>cansole2!$C$5</f>
        <v>150001</v>
      </c>
      <c r="H134" s="61">
        <f>cansole2!$D$5</f>
        <v>150000</v>
      </c>
      <c r="I134" s="61">
        <f>cansole2!$E$5</f>
        <v>180003</v>
      </c>
    </row>
    <row r="135" spans="4:9" hidden="1" outlineLevel="1" collapsed="1">
      <c r="D135" s="60"/>
      <c r="E135" s="60" t="s">
        <v>109</v>
      </c>
      <c r="F135" s="61">
        <f>cansole3!$B$5</f>
        <v>150000</v>
      </c>
      <c r="G135" s="61">
        <f>cansole3!$C$5</f>
        <v>160001</v>
      </c>
      <c r="H135" s="61">
        <f>cansole3!$D$5</f>
        <v>180000</v>
      </c>
      <c r="I135" s="61">
        <f>cansole3!$E$5</f>
        <v>170003</v>
      </c>
    </row>
    <row r="136" spans="4:9" collapsed="1">
      <c r="D136" s="60" t="s">
        <v>87</v>
      </c>
      <c r="E136" s="60"/>
      <c r="F136" s="61">
        <f>AVERAGE(F133:F135)</f>
        <v>123333.33333333333</v>
      </c>
      <c r="G136" s="61">
        <f>AVERAGE(G133:G135)</f>
        <v>143334.33333333334</v>
      </c>
      <c r="H136" s="61">
        <f>AVERAGE(H133:H135)</f>
        <v>160000</v>
      </c>
      <c r="I136" s="61">
        <f>AVERAGE(I133:I135)</f>
        <v>170003</v>
      </c>
    </row>
    <row r="137" spans="4:9" hidden="1" outlineLevel="1">
      <c r="D137" s="60"/>
      <c r="E137" s="60" t="s">
        <v>109</v>
      </c>
      <c r="F137" s="61">
        <f>cansole1!$B$6</f>
        <v>40000</v>
      </c>
      <c r="G137" s="61">
        <f>cansole1!$C$6</f>
        <v>50001</v>
      </c>
      <c r="H137" s="61">
        <f>cansole1!$D$6</f>
        <v>40006</v>
      </c>
      <c r="I137" s="61">
        <f>cansole1!$E$6</f>
        <v>60007</v>
      </c>
    </row>
    <row r="138" spans="4:9" hidden="1" outlineLevel="1" collapsed="1">
      <c r="D138" s="60"/>
      <c r="E138" s="60" t="s">
        <v>109</v>
      </c>
      <c r="F138" s="61">
        <f>cansole2!$B$6</f>
        <v>20000</v>
      </c>
      <c r="G138" s="61">
        <f>cansole2!$C$6</f>
        <v>50001</v>
      </c>
      <c r="H138" s="61">
        <f>cansole2!$D$6</f>
        <v>30006</v>
      </c>
      <c r="I138" s="61">
        <f>cansole2!$E$6</f>
        <v>70007</v>
      </c>
    </row>
    <row r="139" spans="4:9" hidden="1" outlineLevel="1" collapsed="1">
      <c r="D139" s="60"/>
      <c r="E139" s="60" t="s">
        <v>109</v>
      </c>
      <c r="F139" s="61">
        <f>cansole3!$B$6</f>
        <v>20000</v>
      </c>
      <c r="G139" s="61">
        <f>cansole3!$C$6</f>
        <v>70001</v>
      </c>
      <c r="H139" s="61">
        <f>cansole3!$D$6</f>
        <v>40006</v>
      </c>
      <c r="I139" s="61">
        <f>cansole3!$E$6</f>
        <v>60007</v>
      </c>
    </row>
    <row r="140" spans="4:9" collapsed="1">
      <c r="D140" s="60" t="s">
        <v>88</v>
      </c>
      <c r="E140" s="60"/>
      <c r="F140" s="61">
        <f>AVERAGE(F137:F139)</f>
        <v>26666.666666666668</v>
      </c>
      <c r="G140" s="61">
        <f>AVERAGE(G137:G139)</f>
        <v>56667.666666666664</v>
      </c>
      <c r="H140" s="61">
        <f>AVERAGE(H137:H139)</f>
        <v>36672.666666666664</v>
      </c>
      <c r="I140" s="61">
        <f>AVERAGE(I137:I139)</f>
        <v>63340.333333333336</v>
      </c>
    </row>
    <row r="141" spans="4:9" hidden="1" outlineLevel="1">
      <c r="D141" s="60"/>
      <c r="E141" s="60" t="s">
        <v>109</v>
      </c>
      <c r="F141" s="61">
        <f>cansole1!$B$7</f>
        <v>90000</v>
      </c>
      <c r="G141" s="61">
        <f>cansole1!$C$7</f>
        <v>100001</v>
      </c>
      <c r="H141" s="61">
        <f>cansole1!$D$7</f>
        <v>80002</v>
      </c>
      <c r="I141" s="61">
        <f>cansole1!$E$7</f>
        <v>85003</v>
      </c>
    </row>
    <row r="142" spans="4:9" hidden="1" outlineLevel="1" collapsed="1">
      <c r="D142" s="60"/>
      <c r="E142" s="60" t="s">
        <v>109</v>
      </c>
      <c r="F142" s="61">
        <f>cansole2!$B$7</f>
        <v>100000</v>
      </c>
      <c r="G142" s="61">
        <f>cansole2!$C$7</f>
        <v>100001</v>
      </c>
      <c r="H142" s="61">
        <f>cansole2!$D$7</f>
        <v>80002</v>
      </c>
      <c r="I142" s="61">
        <f>cansole2!$E$7</f>
        <v>95003</v>
      </c>
    </row>
    <row r="143" spans="4:9" hidden="1" outlineLevel="1" collapsed="1">
      <c r="D143" s="60"/>
      <c r="E143" s="60" t="s">
        <v>109</v>
      </c>
      <c r="F143" s="61">
        <f>cansole3!$B$7</f>
        <v>70000</v>
      </c>
      <c r="G143" s="61">
        <f>cansole3!$C$7</f>
        <v>100001</v>
      </c>
      <c r="H143" s="61">
        <f>cansole3!$D$7</f>
        <v>180002</v>
      </c>
      <c r="I143" s="61">
        <f>cansole3!$E$7</f>
        <v>85003</v>
      </c>
    </row>
    <row r="144" spans="4:9" collapsed="1">
      <c r="D144" s="60" t="s">
        <v>89</v>
      </c>
      <c r="E144" s="60"/>
      <c r="F144" s="61">
        <f>AVERAGE(F141:F143)</f>
        <v>86666.666666666672</v>
      </c>
      <c r="G144" s="61">
        <f>AVERAGE(G141:G143)</f>
        <v>100001</v>
      </c>
      <c r="H144" s="61">
        <f>AVERAGE(H141:H143)</f>
        <v>113335.33333333333</v>
      </c>
      <c r="I144" s="61">
        <f>AVERAGE(I141:I143)</f>
        <v>88336.333333333328</v>
      </c>
    </row>
    <row r="145" spans="4:9" hidden="1" outlineLevel="1">
      <c r="D145" s="60"/>
      <c r="E145" s="60" t="s">
        <v>109</v>
      </c>
      <c r="F145" s="61">
        <f>cansole1!$B$8</f>
        <v>23000</v>
      </c>
      <c r="G145" s="61">
        <f>cansole1!$C$8</f>
        <v>25001</v>
      </c>
      <c r="H145" s="61">
        <f>cansole1!$D$8</f>
        <v>25002</v>
      </c>
      <c r="I145" s="61">
        <f>cansole1!$E$8</f>
        <v>33003</v>
      </c>
    </row>
    <row r="146" spans="4:9" hidden="1" outlineLevel="1" collapsed="1">
      <c r="D146" s="60"/>
      <c r="E146" s="60" t="s">
        <v>109</v>
      </c>
      <c r="F146" s="61">
        <f>cansole2!$B$8</f>
        <v>20000</v>
      </c>
      <c r="G146" s="61">
        <f>cansole2!$C$8</f>
        <v>35001</v>
      </c>
      <c r="H146" s="61">
        <f>cansole2!$D$8</f>
        <v>35002</v>
      </c>
      <c r="I146" s="61">
        <f>cansole2!$E$8</f>
        <v>43003</v>
      </c>
    </row>
    <row r="147" spans="4:9" hidden="1" outlineLevel="1" collapsed="1">
      <c r="D147" s="60"/>
      <c r="E147" s="60" t="s">
        <v>109</v>
      </c>
      <c r="F147" s="61">
        <f>cansole3!$B$8</f>
        <v>20000</v>
      </c>
      <c r="G147" s="61">
        <f>cansole3!$C$8</f>
        <v>24001</v>
      </c>
      <c r="H147" s="61">
        <f>cansole3!$D$8</f>
        <v>35002</v>
      </c>
      <c r="I147" s="61">
        <f>cansole3!$E$8</f>
        <v>33003</v>
      </c>
    </row>
    <row r="148" spans="4:9" collapsed="1">
      <c r="D148" s="60" t="s">
        <v>90</v>
      </c>
      <c r="E148" s="60"/>
      <c r="F148" s="61">
        <f>AVERAGE(F145:F147)</f>
        <v>21000</v>
      </c>
      <c r="G148" s="61">
        <f>AVERAGE(G145:G147)</f>
        <v>28001</v>
      </c>
      <c r="H148" s="61">
        <f>AVERAGE(H145:H147)</f>
        <v>31668.666666666668</v>
      </c>
      <c r="I148" s="61">
        <f>AVERAGE(I145:I147)</f>
        <v>36336.333333333336</v>
      </c>
    </row>
  </sheetData>
  <dataConsolidate leftLabels="1" topLabels="1" link="1">
    <dataRefs count="2">
      <dataRef ref="A2:E8" sheet="cansole1"/>
      <dataRef ref="A2:E8" sheet="cansole2"/>
    </dataRefs>
  </dataConsolid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workbookViewId="0">
      <selection activeCell="M7" sqref="M7"/>
    </sheetView>
  </sheetViews>
  <sheetFormatPr defaultColWidth="9.109375" defaultRowHeight="14.4"/>
  <cols>
    <col min="1" max="1" width="30.88671875" customWidth="1"/>
    <col min="2" max="5" width="16.88671875" customWidth="1"/>
  </cols>
  <sheetData>
    <row r="1" spans="1:13" ht="25.8">
      <c r="A1" s="64" t="s">
        <v>91</v>
      </c>
      <c r="B1" s="64"/>
      <c r="C1" s="64"/>
      <c r="D1" s="64"/>
      <c r="E1" s="64"/>
    </row>
    <row r="2" spans="1:13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H2" s="2" t="s">
        <v>103</v>
      </c>
      <c r="I2" s="2"/>
      <c r="J2" s="2"/>
      <c r="K2" s="2"/>
      <c r="L2" s="2"/>
      <c r="M2">
        <f>MATCH(B2,A2:E2,0)</f>
        <v>2</v>
      </c>
    </row>
    <row r="3" spans="1:13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  <c r="H3" s="2" t="s">
        <v>104</v>
      </c>
      <c r="I3" s="2"/>
      <c r="J3" s="2"/>
      <c r="K3" s="2"/>
      <c r="L3" s="2"/>
      <c r="M3">
        <f>MATCH(A6,A6:E6,0)</f>
        <v>1</v>
      </c>
    </row>
    <row r="4" spans="1:13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  <c r="H4" s="2" t="s">
        <v>105</v>
      </c>
      <c r="I4" s="2"/>
      <c r="J4" s="2"/>
      <c r="K4" s="2"/>
      <c r="L4" s="2"/>
      <c r="M4">
        <f>MATCH(E2,A2:E2,0)</f>
        <v>5</v>
      </c>
    </row>
    <row r="5" spans="1:13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  <c r="H5" s="2" t="s">
        <v>106</v>
      </c>
      <c r="I5" s="2"/>
      <c r="J5" s="2"/>
      <c r="K5" s="2"/>
      <c r="L5" s="2"/>
      <c r="M5">
        <f>MATCH(E8,E2:E8,0)</f>
        <v>7</v>
      </c>
    </row>
    <row r="6" spans="1:13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  <c r="H6" s="2" t="s">
        <v>107</v>
      </c>
      <c r="I6" s="2"/>
      <c r="J6" s="2"/>
      <c r="K6" s="2"/>
      <c r="L6" s="2"/>
      <c r="M6">
        <f>MATCH(E2,E2:E8,0)</f>
        <v>1</v>
      </c>
    </row>
    <row r="7" spans="1:13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13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City_and_State</vt:lpstr>
      <vt:lpstr>VlookUp</vt:lpstr>
      <vt:lpstr>Hookup</vt:lpstr>
      <vt:lpstr>cansole1</vt:lpstr>
      <vt:lpstr>cansole2</vt:lpstr>
      <vt:lpstr>Sales_data_set</vt:lpstr>
      <vt:lpstr>cansole3</vt:lpstr>
      <vt:lpstr>Cansolidate</vt:lpstr>
      <vt:lpstr>Match</vt:lpstr>
      <vt:lpstr>Employee_2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DELL_8</dc:creator>
  <cp:lastModifiedBy>Harsha Gudekar</cp:lastModifiedBy>
  <dcterms:created xsi:type="dcterms:W3CDTF">2024-02-28T06:48:00Z</dcterms:created>
  <dcterms:modified xsi:type="dcterms:W3CDTF">2025-12-27T06:39:25Z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1A8CF0CF554B44CCA33AB79B4D08A0A0_11</vt:lpwstr>
  </property>
  <property fmtid="{D5CDD505-2E9C-101B-9397-08002B2CF9AE}" pid="3" name="KSOProductBuildVer">
    <vt:lpwstr>1033-12.2.0.17153</vt:lpwstr>
  </property>
</Properties>
</file>