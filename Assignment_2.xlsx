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13_ncr:1_{449DFF48-DF1B-415B-8C56-78682E827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</calcChain>
</file>

<file path=xl/sharedStrings.xml><?xml version="1.0" encoding="utf-8"?>
<sst xmlns="http://schemas.openxmlformats.org/spreadsheetml/2006/main" count="67" uniqueCount="46">
  <si>
    <t>Name</t>
  </si>
  <si>
    <t>Salary</t>
  </si>
  <si>
    <t>Sales</t>
  </si>
  <si>
    <t>Ratings</t>
  </si>
  <si>
    <t>Commission 4%</t>
  </si>
  <si>
    <t>Kala</t>
  </si>
  <si>
    <t>Raj</t>
  </si>
  <si>
    <t>Mala</t>
  </si>
  <si>
    <t>Rohan</t>
  </si>
  <si>
    <t>Manoj</t>
  </si>
  <si>
    <t>Aves</t>
  </si>
  <si>
    <t>Priya</t>
  </si>
  <si>
    <t>Riya</t>
  </si>
  <si>
    <t>Sakura</t>
  </si>
  <si>
    <t>Jay</t>
  </si>
  <si>
    <t>Vijay</t>
  </si>
  <si>
    <t>Pooja</t>
  </si>
  <si>
    <r>
      <rPr>
        <sz val="11"/>
        <color theme="1"/>
        <rFont val="Calibri"/>
        <charset val="134"/>
        <scheme val="minor"/>
      </rPr>
      <t xml:space="preserve">Insert a column before the </t>
    </r>
    <r>
      <rPr>
        <b/>
        <sz val="11"/>
        <color theme="1"/>
        <rFont val="Calibri"/>
        <charset val="134"/>
        <scheme val="minor"/>
      </rPr>
      <t xml:space="preserve">Name </t>
    </r>
    <r>
      <rPr>
        <sz val="11"/>
        <color theme="1"/>
        <rFont val="Calibri"/>
        <charset val="134"/>
        <scheme val="minor"/>
      </rPr>
      <t xml:space="preserve"> column and name it as Sr. No. also fill the data using drang and drop (i.e. relative reference ).</t>
    </r>
  </si>
  <si>
    <r>
      <rPr>
        <sz val="11"/>
        <color theme="1"/>
        <rFont val="Calibri"/>
        <charset val="134"/>
        <scheme val="minor"/>
      </rPr>
      <t xml:space="preserve">Make a New Commission column and calculate the commission of each cells of Sales column 4%. Note : </t>
    </r>
    <r>
      <rPr>
        <b/>
        <sz val="11"/>
        <color theme="1"/>
        <rFont val="Calibri"/>
        <charset val="134"/>
        <scheme val="minor"/>
      </rPr>
      <t>refer the cell O20  value use relative reference.</t>
    </r>
    <r>
      <rPr>
        <sz val="11"/>
        <color theme="1"/>
        <rFont val="Calibri"/>
        <charset val="134"/>
        <scheme val="minor"/>
      </rPr>
      <t xml:space="preserve"> </t>
    </r>
  </si>
  <si>
    <r>
      <rPr>
        <sz val="11"/>
        <color theme="1"/>
        <rFont val="Calibri"/>
        <charset val="134"/>
        <scheme val="minor"/>
      </rPr>
      <t xml:space="preserve">Make a New Commission column and calculate the commission of each cells of Sales column 4%. Note : </t>
    </r>
    <r>
      <rPr>
        <b/>
        <sz val="11"/>
        <color theme="1"/>
        <rFont val="Calibri"/>
        <charset val="134"/>
        <scheme val="minor"/>
      </rPr>
      <t>refer the cell O20  value use absolute reference.</t>
    </r>
    <r>
      <rPr>
        <sz val="11"/>
        <color theme="1"/>
        <rFont val="Calibri"/>
        <charset val="134"/>
        <scheme val="minor"/>
      </rPr>
      <t xml:space="preserve"> </t>
    </r>
  </si>
  <si>
    <r>
      <rPr>
        <sz val="11"/>
        <color theme="1"/>
        <rFont val="Calibri"/>
        <charset val="134"/>
        <scheme val="minor"/>
      </rPr>
      <t xml:space="preserve">Make a column let say </t>
    </r>
    <r>
      <rPr>
        <b/>
        <sz val="11"/>
        <color theme="1"/>
        <rFont val="Calibri"/>
        <charset val="134"/>
        <scheme val="minor"/>
      </rPr>
      <t>"bonus eligible"</t>
    </r>
    <r>
      <rPr>
        <sz val="11"/>
        <color theme="1"/>
        <rFont val="Calibri"/>
        <charset val="134"/>
        <scheme val="minor"/>
      </rPr>
      <t xml:space="preserve"> if the rating is greater then 3 output should be "yes" and else "no".</t>
    </r>
  </si>
  <si>
    <r>
      <rPr>
        <sz val="11"/>
        <color theme="1"/>
        <rFont val="Calibri"/>
        <charset val="134"/>
        <scheme val="minor"/>
      </rPr>
      <t>Make a "</t>
    </r>
    <r>
      <rPr>
        <b/>
        <sz val="11"/>
        <color theme="1"/>
        <rFont val="Calibri"/>
        <charset val="134"/>
        <scheme val="minor"/>
      </rPr>
      <t>Bonus"</t>
    </r>
    <r>
      <rPr>
        <sz val="11"/>
        <color theme="1"/>
        <rFont val="Calibri"/>
        <charset val="134"/>
        <scheme val="minor"/>
      </rPr>
      <t xml:space="preserve"> column and Assign a bonus to each employee Rs 5,000/- if he/she have rating above 3 and for reset assign 100.</t>
    </r>
  </si>
  <si>
    <t>Make new bonus coloumn assign the bonus base on there rating. Use absolute referencing and Nested if. Also use below given rating and bonus data for absolute referencing.</t>
  </si>
  <si>
    <t>Rating</t>
  </si>
  <si>
    <t>Bonus</t>
  </si>
  <si>
    <t>Colored the sales column cell to red who have sales greater then 10000.</t>
  </si>
  <si>
    <t>Colored the sales column cell to yellow who have sales less then 5000.</t>
  </si>
  <si>
    <t>Colored the sales column cell to green who have sales less then between 5000 to 10000.</t>
  </si>
  <si>
    <t>Color all the names which are duplicate in Name column to red color.</t>
  </si>
  <si>
    <t>Consider salary and find the top five paid employees.</t>
  </si>
  <si>
    <t>Consider salary and find the lest 2 paid employees.</t>
  </si>
  <si>
    <t>Consider salary and find the lest 10% paid employees.</t>
  </si>
  <si>
    <t>Consider salary and find the lest 20% paid employees.</t>
  </si>
  <si>
    <t>TDS 2%</t>
  </si>
  <si>
    <t>Consider above table salary column and color it with data bar option and hide the salary amount.</t>
  </si>
  <si>
    <t>Make a new rating column and give random rating and apply color scales and check the color of lowest rating and highest rating.</t>
  </si>
  <si>
    <t>Make a new sales column use the icon set of conditional formating and write the observation after icon set applied.</t>
  </si>
  <si>
    <t xml:space="preserve">Remove the conditional formating from newly created sales column. </t>
  </si>
  <si>
    <t>SR NO</t>
  </si>
  <si>
    <t>Commision %</t>
  </si>
  <si>
    <t>Commision</t>
  </si>
  <si>
    <t>Commission 4% Rel</t>
  </si>
  <si>
    <t>Commission Abs</t>
  </si>
  <si>
    <t>Bonus EL</t>
  </si>
  <si>
    <t>Bonus 2</t>
  </si>
  <si>
    <r>
      <t xml:space="preserve">Make a Commission column after the </t>
    </r>
    <r>
      <rPr>
        <b/>
        <sz val="11"/>
        <color theme="1"/>
        <rFont val="Calibri"/>
        <charset val="134"/>
        <scheme val="minor"/>
      </rPr>
      <t xml:space="preserve"> sales </t>
    </r>
    <r>
      <rPr>
        <sz val="11"/>
        <color theme="1"/>
        <rFont val="Calibri"/>
        <charset val="134"/>
        <scheme val="minor"/>
      </rPr>
      <t xml:space="preserve"> and calculate the commission of 4% of each cells of commission column. Note : </t>
    </r>
    <r>
      <rPr>
        <b/>
        <sz val="11"/>
        <color theme="1"/>
        <rFont val="Calibri"/>
        <charset val="134"/>
        <scheme val="minor"/>
      </rPr>
      <t xml:space="preserve">use hardcoded value.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</si>
</sst>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_-[$$-409]* #,##0.00_ ;_-[$$-409]* \-#,##0.00\ ;_-[$$-409]* &quot;-&quot;??_ ;_-@_ "/>
  </numFmts>
  <fonts count="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5" fontId="0" fillId="3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/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6" borderId="1" xfId="1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/>
    </xf>
    <xf numFmtId="165" fontId="0" fillId="8" borderId="1" xfId="1" applyNumberFormat="1" applyFont="1" applyFill="1" applyBorder="1" applyAlignment="1">
      <alignment horizontal="center"/>
    </xf>
    <xf numFmtId="165" fontId="0" fillId="8" borderId="1" xfId="0" applyNumberFormat="1" applyFill="1" applyBorder="1"/>
    <xf numFmtId="0" fontId="0" fillId="0" borderId="0" xfId="0" applyAlignment="1">
      <alignment horizontal="center"/>
    </xf>
    <xf numFmtId="0" fontId="2" fillId="5" borderId="1" xfId="0" applyFont="1" applyFill="1" applyBorder="1"/>
    <xf numFmtId="9" fontId="0" fillId="5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165" fontId="0" fillId="0" borderId="0" xfId="0" applyNumberFormat="1"/>
    <xf numFmtId="166" fontId="0" fillId="3" borderId="1" xfId="0" applyNumberForma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2" fontId="0" fillId="8" borderId="0" xfId="0" applyNumberFormat="1" applyFill="1"/>
    <xf numFmtId="9" fontId="0" fillId="0" borderId="0" xfId="0" applyNumberFormat="1"/>
  </cellXfs>
  <cellStyles count="2">
    <cellStyle name="Currency" xfId="1" builtinId="4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65"/>
  <sheetViews>
    <sheetView tabSelected="1" workbookViewId="0">
      <selection activeCell="H51" sqref="H51"/>
    </sheetView>
  </sheetViews>
  <sheetFormatPr defaultColWidth="9" defaultRowHeight="14.4"/>
  <cols>
    <col min="4" max="4" width="11.5546875" customWidth="1"/>
    <col min="5" max="5" width="12.5546875" customWidth="1"/>
    <col min="6" max="6" width="15.44140625" bestFit="1" customWidth="1"/>
    <col min="7" max="7" width="10.33203125" customWidth="1"/>
    <col min="8" max="8" width="12.21875" bestFit="1" customWidth="1"/>
    <col min="9" max="10" width="12.21875" customWidth="1"/>
    <col min="11" max="11" width="26.109375" bestFit="1" customWidth="1"/>
    <col min="12" max="12" width="22.109375" bestFit="1" customWidth="1"/>
    <col min="13" max="13" width="22.109375" customWidth="1"/>
    <col min="17" max="17" width="12.5546875" customWidth="1"/>
    <col min="21" max="21" width="26.6640625" customWidth="1"/>
    <col min="22" max="22" width="15" customWidth="1"/>
    <col min="23" max="23" width="10.5546875" customWidth="1"/>
  </cols>
  <sheetData>
    <row r="1" spans="2:15" ht="21">
      <c r="B1" s="1" t="s">
        <v>38</v>
      </c>
      <c r="C1" s="1" t="s">
        <v>0</v>
      </c>
      <c r="D1" s="1" t="s">
        <v>1</v>
      </c>
      <c r="E1" s="1" t="s">
        <v>2</v>
      </c>
      <c r="F1" s="1" t="s">
        <v>40</v>
      </c>
      <c r="G1" s="1" t="s">
        <v>3</v>
      </c>
      <c r="H1" s="1" t="s">
        <v>43</v>
      </c>
      <c r="I1" s="1" t="s">
        <v>24</v>
      </c>
      <c r="J1" s="1" t="s">
        <v>44</v>
      </c>
      <c r="K1" s="1" t="s">
        <v>41</v>
      </c>
      <c r="L1" s="19" t="s">
        <v>42</v>
      </c>
      <c r="M1" s="17"/>
      <c r="O1" s="17" t="s">
        <v>39</v>
      </c>
    </row>
    <row r="2" spans="2:15">
      <c r="B2">
        <v>1</v>
      </c>
      <c r="C2" s="2" t="s">
        <v>5</v>
      </c>
      <c r="D2" s="3">
        <v>10000</v>
      </c>
      <c r="E2" s="22">
        <v>12000</v>
      </c>
      <c r="F2" s="3">
        <f>E2*4%</f>
        <v>480</v>
      </c>
      <c r="G2" s="4">
        <v>5</v>
      </c>
      <c r="H2" s="4" t="str">
        <f>IF(G2&gt;3,"yes","no")</f>
        <v>yes</v>
      </c>
      <c r="I2" s="4">
        <f>IF(G2&gt;3,5000,100)</f>
        <v>5000</v>
      </c>
      <c r="J2" s="21">
        <f>IF(G2=$C$27,$D$27,IF(G2=$C$28,$D$28,IF(G2=$C$29,$D$29,IF(G2=$C$30,$D$30,IF(G2=$C$31,$D$31)))))</f>
        <v>6000</v>
      </c>
      <c r="K2" s="16">
        <f>E2*4%</f>
        <v>480</v>
      </c>
      <c r="L2" s="20">
        <f>E2*$O$2</f>
        <v>480</v>
      </c>
      <c r="M2" s="20"/>
      <c r="O2" s="24">
        <v>0.04</v>
      </c>
    </row>
    <row r="3" spans="2:15">
      <c r="B3">
        <v>2</v>
      </c>
      <c r="C3" s="2" t="s">
        <v>6</v>
      </c>
      <c r="D3" s="3">
        <v>20000</v>
      </c>
      <c r="E3" s="22">
        <v>250000</v>
      </c>
      <c r="F3" s="3">
        <f t="shared" ref="F3:F15" si="0">E3*4%</f>
        <v>10000</v>
      </c>
      <c r="G3" s="4">
        <v>3</v>
      </c>
      <c r="H3" s="4" t="str">
        <f t="shared" ref="H3:H15" si="1">IF(G3&gt;3,"yes","no")</f>
        <v>no</v>
      </c>
      <c r="I3" s="4">
        <f t="shared" ref="I3:I15" si="2">IF(G3&gt;3,5000,100)</f>
        <v>100</v>
      </c>
      <c r="J3" s="21">
        <f t="shared" ref="J3:J15" si="3">IF(G3=$C$27,$D$27,IF(G3=$C$28,$D$28,IF(G3=$C$29,$D$29,IF(G3=$C$30,$D$30,IF(G3=$C$31,$D$31)))))</f>
        <v>2500</v>
      </c>
      <c r="K3" s="16">
        <f t="shared" ref="K3:K15" si="4">E3*4%</f>
        <v>10000</v>
      </c>
      <c r="L3" s="20">
        <f t="shared" ref="L3:L15" si="5">E3*$O$2</f>
        <v>10000</v>
      </c>
      <c r="M3" s="20"/>
    </row>
    <row r="4" spans="2:15">
      <c r="B4">
        <v>3</v>
      </c>
      <c r="C4" s="2" t="s">
        <v>7</v>
      </c>
      <c r="D4" s="3">
        <v>30000</v>
      </c>
      <c r="E4" s="22">
        <v>10000</v>
      </c>
      <c r="F4" s="3">
        <f t="shared" si="0"/>
        <v>400</v>
      </c>
      <c r="G4" s="4">
        <v>2</v>
      </c>
      <c r="H4" s="4" t="str">
        <f t="shared" si="1"/>
        <v>no</v>
      </c>
      <c r="I4" s="4">
        <f t="shared" si="2"/>
        <v>100</v>
      </c>
      <c r="J4" s="21">
        <f t="shared" si="3"/>
        <v>1000</v>
      </c>
      <c r="K4" s="16">
        <f t="shared" si="4"/>
        <v>400</v>
      </c>
      <c r="L4" s="20">
        <f t="shared" si="5"/>
        <v>400</v>
      </c>
      <c r="M4" s="20"/>
    </row>
    <row r="5" spans="2:15">
      <c r="B5">
        <v>4</v>
      </c>
      <c r="C5" s="2" t="s">
        <v>8</v>
      </c>
      <c r="D5" s="3">
        <v>15000</v>
      </c>
      <c r="E5" s="22">
        <v>200000</v>
      </c>
      <c r="F5" s="3">
        <f t="shared" si="0"/>
        <v>8000</v>
      </c>
      <c r="G5" s="4">
        <v>4</v>
      </c>
      <c r="H5" s="4" t="str">
        <f t="shared" si="1"/>
        <v>yes</v>
      </c>
      <c r="I5" s="4">
        <f t="shared" si="2"/>
        <v>5000</v>
      </c>
      <c r="J5" s="21">
        <f t="shared" si="3"/>
        <v>3000</v>
      </c>
      <c r="K5" s="16">
        <f t="shared" si="4"/>
        <v>8000</v>
      </c>
      <c r="L5" s="20">
        <f t="shared" si="5"/>
        <v>8000</v>
      </c>
      <c r="M5" s="20"/>
    </row>
    <row r="6" spans="2:15">
      <c r="B6">
        <v>5</v>
      </c>
      <c r="C6" s="2" t="s">
        <v>6</v>
      </c>
      <c r="D6" s="3">
        <v>25000</v>
      </c>
      <c r="E6" s="22">
        <v>30000</v>
      </c>
      <c r="F6" s="3">
        <f t="shared" si="0"/>
        <v>1200</v>
      </c>
      <c r="G6" s="4">
        <v>3</v>
      </c>
      <c r="H6" s="4" t="str">
        <f t="shared" si="1"/>
        <v>no</v>
      </c>
      <c r="I6" s="4">
        <f t="shared" si="2"/>
        <v>100</v>
      </c>
      <c r="J6" s="21">
        <f t="shared" si="3"/>
        <v>2500</v>
      </c>
      <c r="K6" s="16">
        <f t="shared" si="4"/>
        <v>1200</v>
      </c>
      <c r="L6" s="20">
        <f t="shared" si="5"/>
        <v>1200</v>
      </c>
      <c r="M6" s="20"/>
    </row>
    <row r="7" spans="2:15">
      <c r="B7">
        <v>6</v>
      </c>
      <c r="C7" s="2" t="s">
        <v>9</v>
      </c>
      <c r="D7" s="3">
        <v>35000</v>
      </c>
      <c r="E7" s="22">
        <v>340000</v>
      </c>
      <c r="F7" s="3">
        <f t="shared" si="0"/>
        <v>13600</v>
      </c>
      <c r="G7" s="4">
        <v>4</v>
      </c>
      <c r="H7" s="4" t="str">
        <f t="shared" si="1"/>
        <v>yes</v>
      </c>
      <c r="I7" s="4">
        <f t="shared" si="2"/>
        <v>5000</v>
      </c>
      <c r="J7" s="21">
        <f t="shared" si="3"/>
        <v>3000</v>
      </c>
      <c r="K7" s="16">
        <f t="shared" si="4"/>
        <v>13600</v>
      </c>
      <c r="L7" s="20">
        <f t="shared" si="5"/>
        <v>13600</v>
      </c>
      <c r="M7" s="20"/>
    </row>
    <row r="8" spans="2:15">
      <c r="B8">
        <v>7</v>
      </c>
      <c r="C8" s="2" t="s">
        <v>10</v>
      </c>
      <c r="D8" s="3">
        <v>45000</v>
      </c>
      <c r="E8" s="22">
        <v>100000</v>
      </c>
      <c r="F8" s="3">
        <f t="shared" si="0"/>
        <v>4000</v>
      </c>
      <c r="G8" s="4">
        <v>3</v>
      </c>
      <c r="H8" s="4" t="str">
        <f t="shared" si="1"/>
        <v>no</v>
      </c>
      <c r="I8" s="4">
        <f t="shared" si="2"/>
        <v>100</v>
      </c>
      <c r="J8" s="21">
        <f t="shared" si="3"/>
        <v>2500</v>
      </c>
      <c r="K8" s="16">
        <f t="shared" si="4"/>
        <v>4000</v>
      </c>
      <c r="L8" s="20">
        <f t="shared" si="5"/>
        <v>4000</v>
      </c>
      <c r="M8" s="20"/>
    </row>
    <row r="9" spans="2:15">
      <c r="B9">
        <v>8</v>
      </c>
      <c r="C9" s="2" t="s">
        <v>11</v>
      </c>
      <c r="D9" s="3">
        <v>30000</v>
      </c>
      <c r="E9" s="22">
        <v>234500</v>
      </c>
      <c r="F9" s="3">
        <f t="shared" si="0"/>
        <v>9380</v>
      </c>
      <c r="G9" s="4">
        <v>2</v>
      </c>
      <c r="H9" s="4" t="str">
        <f t="shared" si="1"/>
        <v>no</v>
      </c>
      <c r="I9" s="4">
        <f t="shared" si="2"/>
        <v>100</v>
      </c>
      <c r="J9" s="21">
        <f t="shared" si="3"/>
        <v>1000</v>
      </c>
      <c r="K9" s="16">
        <f t="shared" si="4"/>
        <v>9380</v>
      </c>
      <c r="L9" s="20">
        <f t="shared" si="5"/>
        <v>9380</v>
      </c>
      <c r="M9" s="20"/>
    </row>
    <row r="10" spans="2:15">
      <c r="B10">
        <v>9</v>
      </c>
      <c r="C10" s="2" t="s">
        <v>12</v>
      </c>
      <c r="D10" s="3">
        <v>15000</v>
      </c>
      <c r="E10" s="22">
        <v>125043</v>
      </c>
      <c r="F10" s="3">
        <f t="shared" si="0"/>
        <v>5001.72</v>
      </c>
      <c r="G10" s="4">
        <v>5</v>
      </c>
      <c r="H10" s="4" t="str">
        <f t="shared" si="1"/>
        <v>yes</v>
      </c>
      <c r="I10" s="4">
        <f t="shared" si="2"/>
        <v>5000</v>
      </c>
      <c r="J10" s="21">
        <f t="shared" si="3"/>
        <v>6000</v>
      </c>
      <c r="K10" s="16">
        <f t="shared" si="4"/>
        <v>5001.72</v>
      </c>
      <c r="L10" s="20">
        <f t="shared" si="5"/>
        <v>5001.72</v>
      </c>
      <c r="M10" s="20"/>
    </row>
    <row r="11" spans="2:15">
      <c r="B11">
        <v>10</v>
      </c>
      <c r="C11" s="2" t="s">
        <v>11</v>
      </c>
      <c r="D11" s="3">
        <v>10000</v>
      </c>
      <c r="E11" s="22">
        <v>340000</v>
      </c>
      <c r="F11" s="3">
        <f t="shared" si="0"/>
        <v>13600</v>
      </c>
      <c r="G11" s="4">
        <v>1</v>
      </c>
      <c r="H11" s="4" t="str">
        <f t="shared" si="1"/>
        <v>no</v>
      </c>
      <c r="I11" s="4">
        <f t="shared" si="2"/>
        <v>100</v>
      </c>
      <c r="J11" s="21">
        <f t="shared" si="3"/>
        <v>50</v>
      </c>
      <c r="K11" s="16">
        <f t="shared" si="4"/>
        <v>13600</v>
      </c>
      <c r="L11" s="20">
        <f t="shared" si="5"/>
        <v>13600</v>
      </c>
      <c r="M11" s="20"/>
    </row>
    <row r="12" spans="2:15">
      <c r="B12">
        <v>11</v>
      </c>
      <c r="C12" s="2" t="s">
        <v>13</v>
      </c>
      <c r="D12" s="3">
        <v>45000</v>
      </c>
      <c r="E12" s="22">
        <v>100000</v>
      </c>
      <c r="F12" s="3">
        <f t="shared" si="0"/>
        <v>4000</v>
      </c>
      <c r="G12" s="4">
        <v>2</v>
      </c>
      <c r="H12" s="4" t="str">
        <f t="shared" si="1"/>
        <v>no</v>
      </c>
      <c r="I12" s="4">
        <f t="shared" si="2"/>
        <v>100</v>
      </c>
      <c r="J12" s="21">
        <f t="shared" si="3"/>
        <v>1000</v>
      </c>
      <c r="K12" s="16">
        <f t="shared" si="4"/>
        <v>4000</v>
      </c>
      <c r="L12" s="20">
        <f t="shared" si="5"/>
        <v>4000</v>
      </c>
      <c r="M12" s="20"/>
    </row>
    <row r="13" spans="2:15">
      <c r="B13">
        <v>12</v>
      </c>
      <c r="C13" s="2" t="s">
        <v>14</v>
      </c>
      <c r="D13" s="3">
        <v>30000</v>
      </c>
      <c r="E13" s="22">
        <v>234500</v>
      </c>
      <c r="F13" s="3">
        <f t="shared" si="0"/>
        <v>9380</v>
      </c>
      <c r="G13" s="4">
        <v>3</v>
      </c>
      <c r="H13" s="4" t="str">
        <f t="shared" si="1"/>
        <v>no</v>
      </c>
      <c r="I13" s="4">
        <f t="shared" si="2"/>
        <v>100</v>
      </c>
      <c r="J13" s="21">
        <f t="shared" si="3"/>
        <v>2500</v>
      </c>
      <c r="K13" s="16">
        <f t="shared" si="4"/>
        <v>9380</v>
      </c>
      <c r="L13" s="20">
        <f t="shared" si="5"/>
        <v>9380</v>
      </c>
      <c r="M13" s="20"/>
    </row>
    <row r="14" spans="2:15">
      <c r="B14">
        <v>13</v>
      </c>
      <c r="C14" s="2" t="s">
        <v>15</v>
      </c>
      <c r="D14" s="3">
        <v>15000</v>
      </c>
      <c r="E14" s="22">
        <v>125043</v>
      </c>
      <c r="F14" s="3">
        <f t="shared" si="0"/>
        <v>5001.72</v>
      </c>
      <c r="G14" s="4">
        <v>2</v>
      </c>
      <c r="H14" s="4" t="str">
        <f t="shared" si="1"/>
        <v>no</v>
      </c>
      <c r="I14" s="4">
        <f t="shared" si="2"/>
        <v>100</v>
      </c>
      <c r="J14" s="21">
        <f t="shared" si="3"/>
        <v>1000</v>
      </c>
      <c r="K14" s="16">
        <f t="shared" si="4"/>
        <v>5001.72</v>
      </c>
      <c r="L14" s="20">
        <f t="shared" si="5"/>
        <v>5001.72</v>
      </c>
      <c r="M14" s="20"/>
    </row>
    <row r="15" spans="2:15">
      <c r="B15">
        <v>14</v>
      </c>
      <c r="C15" s="2" t="s">
        <v>16</v>
      </c>
      <c r="D15" s="3">
        <v>10000</v>
      </c>
      <c r="E15" s="22">
        <v>24000</v>
      </c>
      <c r="F15" s="3">
        <f t="shared" si="0"/>
        <v>960</v>
      </c>
      <c r="G15" s="4">
        <v>5</v>
      </c>
      <c r="H15" s="4" t="str">
        <f t="shared" si="1"/>
        <v>yes</v>
      </c>
      <c r="I15" s="4">
        <f t="shared" si="2"/>
        <v>5000</v>
      </c>
      <c r="J15" s="21">
        <f t="shared" si="3"/>
        <v>6000</v>
      </c>
      <c r="K15" s="16">
        <f t="shared" si="4"/>
        <v>960</v>
      </c>
      <c r="L15" s="20">
        <f t="shared" si="5"/>
        <v>960</v>
      </c>
      <c r="M15" s="20"/>
    </row>
    <row r="16" spans="2:15">
      <c r="L16" s="20"/>
      <c r="M16" s="20"/>
    </row>
    <row r="18" spans="3:21" ht="20.25" customHeight="1">
      <c r="C18" s="5" t="s">
        <v>17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3:21" ht="20.25" customHeight="1">
      <c r="C19" s="5" t="s">
        <v>45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14" t="s">
        <v>4</v>
      </c>
    </row>
    <row r="20" spans="3:21" ht="20.25" customHeight="1">
      <c r="C20" s="5" t="s">
        <v>18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15">
        <v>0.04</v>
      </c>
    </row>
    <row r="21" spans="3:21" ht="20.25" customHeight="1">
      <c r="C21" s="5" t="s">
        <v>19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3:21" ht="20.25" customHeight="1">
      <c r="C22" s="5" t="s">
        <v>20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3:21" ht="20.25" customHeight="1">
      <c r="C23" s="5" t="s">
        <v>21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5" spans="3:21" ht="21.75" customHeight="1">
      <c r="C25" s="5" t="s">
        <v>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3:21">
      <c r="C26" s="6" t="s">
        <v>23</v>
      </c>
      <c r="D26" s="6" t="s">
        <v>24</v>
      </c>
    </row>
    <row r="27" spans="3:21">
      <c r="C27" s="7">
        <v>5</v>
      </c>
      <c r="D27" s="8">
        <v>6000</v>
      </c>
    </row>
    <row r="28" spans="3:21">
      <c r="C28" s="7">
        <v>4</v>
      </c>
      <c r="D28" s="8">
        <v>3000</v>
      </c>
    </row>
    <row r="29" spans="3:21">
      <c r="C29" s="7">
        <v>3</v>
      </c>
      <c r="D29" s="8">
        <v>2500</v>
      </c>
    </row>
    <row r="30" spans="3:21">
      <c r="C30" s="7">
        <v>2</v>
      </c>
      <c r="D30" s="8">
        <v>1000</v>
      </c>
    </row>
    <row r="31" spans="3:21">
      <c r="C31" s="7">
        <v>1</v>
      </c>
      <c r="D31" s="8">
        <v>50</v>
      </c>
    </row>
    <row r="34" spans="3:20" ht="21.75" customHeight="1">
      <c r="C34" s="5" t="s">
        <v>25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3:20" ht="21.75" customHeight="1">
      <c r="C35" s="5" t="s">
        <v>26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3:20" ht="21.75" customHeight="1">
      <c r="C36" s="5" t="s">
        <v>27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3:20" ht="21.75" customHeight="1">
      <c r="C37" s="5" t="s">
        <v>28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9" spans="3:20" ht="21.75" customHeight="1">
      <c r="C39" s="5" t="s">
        <v>29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3:20" ht="21.75" customHeight="1">
      <c r="C40" s="5" t="s">
        <v>30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3:20" ht="21.75" customHeight="1">
      <c r="C41" s="5" t="s">
        <v>31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3:20" ht="21.75" customHeight="1">
      <c r="C42" s="5" t="s">
        <v>32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3:20" ht="21.75" customHeight="1"/>
    <row r="44" spans="3:20" ht="21.75" customHeight="1"/>
    <row r="46" spans="3:20" ht="21.75" customHeight="1">
      <c r="C46" s="9" t="s">
        <v>0</v>
      </c>
      <c r="D46" s="9" t="s">
        <v>1</v>
      </c>
      <c r="E46" s="9" t="s">
        <v>33</v>
      </c>
      <c r="F46" s="18" t="s">
        <v>23</v>
      </c>
      <c r="G46" s="18" t="s">
        <v>2</v>
      </c>
    </row>
    <row r="47" spans="3:20" ht="21.75" customHeight="1">
      <c r="C47" s="10" t="s">
        <v>5</v>
      </c>
      <c r="D47" s="11">
        <v>10000</v>
      </c>
      <c r="E47" s="12">
        <f>D47*2%</f>
        <v>200</v>
      </c>
      <c r="F47" s="23">
        <v>5</v>
      </c>
      <c r="G47">
        <v>200</v>
      </c>
    </row>
    <row r="48" spans="3:20" ht="21.75" customHeight="1">
      <c r="C48" s="10" t="s">
        <v>6</v>
      </c>
      <c r="D48" s="11">
        <v>20000</v>
      </c>
      <c r="E48" s="12">
        <f t="shared" ref="E48:E60" si="6">D48*2%</f>
        <v>400</v>
      </c>
      <c r="F48" s="23">
        <v>3</v>
      </c>
      <c r="G48">
        <v>300</v>
      </c>
    </row>
    <row r="49" spans="3:20" ht="21.75" customHeight="1">
      <c r="C49" s="10" t="s">
        <v>7</v>
      </c>
      <c r="D49" s="11">
        <v>30000</v>
      </c>
      <c r="E49" s="12">
        <f t="shared" si="6"/>
        <v>600</v>
      </c>
      <c r="F49" s="23">
        <v>4</v>
      </c>
      <c r="G49">
        <v>466</v>
      </c>
      <c r="K49" s="13"/>
    </row>
    <row r="50" spans="3:20">
      <c r="C50" s="10" t="s">
        <v>8</v>
      </c>
      <c r="D50" s="11">
        <v>15000</v>
      </c>
      <c r="E50" s="12">
        <f t="shared" si="6"/>
        <v>300</v>
      </c>
      <c r="F50" s="23">
        <v>2</v>
      </c>
      <c r="G50">
        <v>455</v>
      </c>
    </row>
    <row r="51" spans="3:20">
      <c r="C51" s="10" t="s">
        <v>6</v>
      </c>
      <c r="D51" s="11">
        <v>25000</v>
      </c>
      <c r="E51" s="12">
        <f t="shared" si="6"/>
        <v>500</v>
      </c>
      <c r="F51" s="23">
        <v>1</v>
      </c>
      <c r="G51">
        <v>344</v>
      </c>
    </row>
    <row r="52" spans="3:20">
      <c r="C52" s="10" t="s">
        <v>9</v>
      </c>
      <c r="D52" s="11">
        <v>35000</v>
      </c>
      <c r="E52" s="12">
        <f t="shared" si="6"/>
        <v>700</v>
      </c>
      <c r="F52" s="23">
        <v>3</v>
      </c>
      <c r="G52">
        <v>443</v>
      </c>
    </row>
    <row r="53" spans="3:20">
      <c r="C53" s="10" t="s">
        <v>10</v>
      </c>
      <c r="D53" s="11">
        <v>45000</v>
      </c>
      <c r="E53" s="12">
        <f t="shared" si="6"/>
        <v>900</v>
      </c>
      <c r="F53" s="23">
        <v>5</v>
      </c>
      <c r="G53">
        <v>1000</v>
      </c>
    </row>
    <row r="54" spans="3:20">
      <c r="C54" s="10" t="s">
        <v>11</v>
      </c>
      <c r="D54" s="11">
        <v>30000</v>
      </c>
      <c r="E54" s="12">
        <f t="shared" si="6"/>
        <v>600</v>
      </c>
      <c r="F54" s="23">
        <v>4</v>
      </c>
      <c r="G54">
        <v>234</v>
      </c>
    </row>
    <row r="55" spans="3:20">
      <c r="C55" s="10" t="s">
        <v>12</v>
      </c>
      <c r="D55" s="11">
        <v>15000</v>
      </c>
      <c r="E55" s="12">
        <f t="shared" si="6"/>
        <v>300</v>
      </c>
      <c r="F55" s="23">
        <v>2</v>
      </c>
      <c r="G55">
        <v>356</v>
      </c>
    </row>
    <row r="56" spans="3:20">
      <c r="C56" s="10" t="s">
        <v>11</v>
      </c>
      <c r="D56" s="11">
        <v>10000</v>
      </c>
      <c r="E56" s="12">
        <f t="shared" si="6"/>
        <v>200</v>
      </c>
      <c r="F56" s="23">
        <v>4</v>
      </c>
      <c r="G56">
        <v>40000</v>
      </c>
    </row>
    <row r="57" spans="3:20">
      <c r="C57" s="10" t="s">
        <v>13</v>
      </c>
      <c r="D57" s="11">
        <v>45000</v>
      </c>
      <c r="E57" s="12">
        <f t="shared" si="6"/>
        <v>900</v>
      </c>
      <c r="F57" s="23">
        <v>1</v>
      </c>
      <c r="G57">
        <v>2334</v>
      </c>
    </row>
    <row r="58" spans="3:20">
      <c r="C58" s="10" t="s">
        <v>14</v>
      </c>
      <c r="D58" s="11">
        <v>30000</v>
      </c>
      <c r="E58" s="12">
        <f t="shared" si="6"/>
        <v>600</v>
      </c>
      <c r="F58" s="23">
        <v>2</v>
      </c>
      <c r="G58">
        <v>253</v>
      </c>
    </row>
    <row r="59" spans="3:20">
      <c r="C59" s="10" t="s">
        <v>15</v>
      </c>
      <c r="D59" s="11">
        <v>15000</v>
      </c>
      <c r="E59" s="12">
        <f t="shared" si="6"/>
        <v>300</v>
      </c>
      <c r="F59" s="23">
        <v>3</v>
      </c>
      <c r="G59">
        <v>22444</v>
      </c>
    </row>
    <row r="60" spans="3:20">
      <c r="C60" s="10" t="s">
        <v>16</v>
      </c>
      <c r="D60" s="11">
        <v>10000</v>
      </c>
      <c r="E60" s="12">
        <f t="shared" si="6"/>
        <v>200</v>
      </c>
      <c r="F60" s="23">
        <v>4</v>
      </c>
      <c r="G60">
        <v>564</v>
      </c>
    </row>
    <row r="62" spans="3:20" ht="23.25" customHeight="1">
      <c r="C62" s="5" t="s">
        <v>34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3:20" ht="23.25" customHeight="1">
      <c r="C63" s="5" t="s">
        <v>35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3:20" ht="23.25" customHeight="1">
      <c r="C64" s="5" t="s">
        <v>36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3:20" ht="23.25" customHeight="1">
      <c r="C65" s="5" t="s">
        <v>37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</sheetData>
  <conditionalFormatting sqref="C2:C15">
    <cfRule type="duplicateValues" dxfId="7" priority="8"/>
  </conditionalFormatting>
  <conditionalFormatting sqref="D2:D15">
    <cfRule type="top10" dxfId="6" priority="5" percent="1" bottom="1" rank="10"/>
    <cfRule type="top10" dxfId="5" priority="6" bottom="1" rank="2"/>
    <cfRule type="top10" dxfId="4" priority="7" rank="5"/>
  </conditionalFormatting>
  <conditionalFormatting sqref="D47:D60">
    <cfRule type="dataBar" priority="4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{7280F352-E3FF-4C0B-B91C-16DEBF539AD4}</x14:id>
        </ext>
      </extLst>
    </cfRule>
  </conditionalFormatting>
  <conditionalFormatting sqref="E2:E15">
    <cfRule type="cellIs" dxfId="3" priority="9" operator="between">
      <formula>92500</formula>
      <formula>257500</formula>
    </cfRule>
    <cfRule type="cellIs" dxfId="2" priority="10" operator="greaterThan">
      <formula>100099</formula>
    </cfRule>
    <cfRule type="cellIs" dxfId="1" priority="11" operator="greaterThan">
      <formula>" $12,000"</formula>
    </cfRule>
    <cfRule type="cellIs" dxfId="0" priority="12" operator="greaterThan">
      <formula>" $10,000"</formula>
    </cfRule>
  </conditionalFormatting>
  <conditionalFormatting sqref="F47:F60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G47:G60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80F352-E3FF-4C0B-B91C-16DEBF539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D47:D60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DELL_11</dc:creator>
  <cp:lastModifiedBy>Harsha Gudekar</cp:lastModifiedBy>
  <dcterms:created xsi:type="dcterms:W3CDTF">2024-02-16T12:17:00Z</dcterms:created>
  <dcterms:modified xsi:type="dcterms:W3CDTF">2025-12-27T06:16:39Z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AC4B185745F44E45AD94D7AA5CD8C66C_13</vt:lpwstr>
  </property>
  <property fmtid="{D5CDD505-2E9C-101B-9397-08002B2CF9AE}" pid="3" name="KSOProductBuildVer">
    <vt:lpwstr>1033-12.2.0.16909</vt:lpwstr>
  </property>
</Properties>
</file>