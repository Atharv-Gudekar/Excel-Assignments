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"/>
    </mc:Choice>
  </mc:AlternateContent>
  <xr:revisionPtr revIDLastSave="0" documentId="8_{77FCB502-64D3-4C3D-895E-D01E977DE678}" xr6:coauthVersionLast="47" xr6:coauthVersionMax="47" xr10:uidLastSave="{00000000-0000-0000-0000-000000000000}"/>
  <bookViews>
    <workbookView xWindow="-108" yWindow="-108" windowWidth="23256" windowHeight="12456" firstSheet="6" activeTab="12" xr2:uid="{AF1D86C6-06F1-49F0-804F-9A2F6485C325}"/>
  </bookViews>
  <sheets>
    <sheet name="Data_validations" sheetId="1" r:id="rId1"/>
    <sheet name="P1" sheetId="13" r:id="rId2"/>
    <sheet name="P2" sheetId="14" r:id="rId3"/>
    <sheet name="Sheet6" sheetId="15" r:id="rId4"/>
    <sheet name="Sheet7" sheetId="16" r:id="rId5"/>
    <sheet name="Charts" sheetId="9" r:id="rId6"/>
    <sheet name="Sheet2" sheetId="18" r:id="rId7"/>
    <sheet name="Sheet3" sheetId="19" r:id="rId8"/>
    <sheet name="Forecast" sheetId="6" r:id="rId9"/>
    <sheet name="Goal-Seek" sheetId="2" r:id="rId10"/>
    <sheet name="Scenario Summary" sheetId="20" r:id="rId11"/>
    <sheet name="Scenario Summary 2" sheetId="22" r:id="rId12"/>
    <sheet name="Secnario-man." sheetId="4" r:id="rId13"/>
    <sheet name="Data-table (Optional)" sheetId="5" r:id="rId14"/>
  </sheets>
  <definedNames>
    <definedName name="_xlchart.v1.0" hidden="1">Charts!$G$3:$G$25</definedName>
    <definedName name="_xlchart.v1.1" hidden="1">Charts!$I$2</definedName>
    <definedName name="_xlchart.v1.2" hidden="1">Charts!$I$3:$I$25</definedName>
    <definedName name="_xlchart.v1.3" hidden="1">Charts!$G$3:$G$25</definedName>
    <definedName name="_xlchart.v1.4" hidden="1">Charts!$K$2</definedName>
    <definedName name="_xlchart.v1.5" hidden="1">Charts!$K$3:$K$25</definedName>
  </definedNames>
  <calcPr calcId="191029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9" l="1"/>
  <c r="B6" i="2"/>
  <c r="B4" i="5"/>
  <c r="F3" i="5" s="1"/>
  <c r="B11" i="4"/>
  <c r="N4" i="1"/>
  <c r="M3" i="1"/>
  <c r="C16" i="19"/>
  <c r="C18" i="19"/>
  <c r="C17" i="19"/>
  <c r="C15" i="19"/>
  <c r="C15" i="18"/>
  <c r="E15" i="18"/>
  <c r="D15" i="18"/>
  <c r="D15" i="19"/>
  <c r="E15" i="19"/>
  <c r="E18" i="19"/>
  <c r="D17" i="19"/>
  <c r="D16" i="19"/>
  <c r="E17" i="19"/>
  <c r="E16" i="19"/>
  <c r="D18" i="19"/>
</calcChain>
</file>

<file path=xl/sharedStrings.xml><?xml version="1.0" encoding="utf-8"?>
<sst xmlns="http://schemas.openxmlformats.org/spreadsheetml/2006/main" count="420" uniqueCount="162">
  <si>
    <t>Row ID</t>
  </si>
  <si>
    <t>Ship Date</t>
  </si>
  <si>
    <t>Customer ID</t>
  </si>
  <si>
    <t>Customer Name</t>
  </si>
  <si>
    <t>Postal Code</t>
  </si>
  <si>
    <t>Product ID</t>
  </si>
  <si>
    <t>Category</t>
  </si>
  <si>
    <t>Sub-Category</t>
  </si>
  <si>
    <t>Sales</t>
  </si>
  <si>
    <t>Quantity</t>
  </si>
  <si>
    <t>Profit</t>
  </si>
  <si>
    <t>CG-12520</t>
  </si>
  <si>
    <t>Claire Gute</t>
  </si>
  <si>
    <t>FUR-BO-10001798</t>
  </si>
  <si>
    <t>Furniture</t>
  </si>
  <si>
    <t>Bookcases</t>
  </si>
  <si>
    <t>FUR-CH-10000454</t>
  </si>
  <si>
    <t>Chairs</t>
  </si>
  <si>
    <t>DV-13045</t>
  </si>
  <si>
    <t>Darrin Van Huff</t>
  </si>
  <si>
    <t>OFF-LA-10000240</t>
  </si>
  <si>
    <t>Office Supplies</t>
  </si>
  <si>
    <t>Labels</t>
  </si>
  <si>
    <t>SO-20335</t>
  </si>
  <si>
    <t>Sean O'Donnell</t>
  </si>
  <si>
    <t>FUR-TA-10000577</t>
  </si>
  <si>
    <t>Tables</t>
  </si>
  <si>
    <t>OFF-ST-10000760</t>
  </si>
  <si>
    <t>Storage</t>
  </si>
  <si>
    <t>BH-11710</t>
  </si>
  <si>
    <t>Brosina Hoffman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</si>
  <si>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</si>
  <si>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</si>
  <si>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</si>
  <si>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</si>
  <si>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</si>
  <si>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</si>
  <si>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</si>
  <si>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</si>
  <si>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</si>
  <si>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</si>
  <si>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</si>
  <si>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</si>
  <si>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</si>
  <si>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AA-10480</t>
  </si>
  <si>
    <t>Andrew Allen</t>
  </si>
  <si>
    <t>OFF-PA-10002365</t>
  </si>
  <si>
    <t>Paper</t>
  </si>
  <si>
    <t>IM-15070</t>
  </si>
  <si>
    <t>Irene Maddox</t>
  </si>
  <si>
    <t>OFF-BI-10003656</t>
  </si>
  <si>
    <t>HP-14815</t>
  </si>
  <si>
    <t>Harold Pawlan</t>
  </si>
  <si>
    <t>OFF-AP-10002311</t>
  </si>
  <si>
    <t>OFF-BI-10000756</t>
  </si>
  <si>
    <t>PK-19075</t>
  </si>
  <si>
    <t>Pete Kriz</t>
  </si>
  <si>
    <t>OFF-ST-10004186</t>
  </si>
  <si>
    <t>AG-10270</t>
  </si>
  <si>
    <t>Alejandro Grove</t>
  </si>
  <si>
    <t>OFF-ST-10000107</t>
  </si>
  <si>
    <t>ZD-21925</t>
  </si>
  <si>
    <t>Zuschuss Donatelli</t>
  </si>
  <si>
    <t>OFF-AR-10003056</t>
  </si>
  <si>
    <t>TEC-PH-10001949</t>
  </si>
  <si>
    <t>OFF-BI-10002215</t>
  </si>
  <si>
    <t>KB-16585</t>
  </si>
  <si>
    <t>Ken Black</t>
  </si>
  <si>
    <t>OFF-AR-10000246</t>
  </si>
  <si>
    <t>OFF-AP-10001492</t>
  </si>
  <si>
    <t>Convert all the columns such as Customer Name, Category, Sub-Category to TEXT.</t>
  </si>
  <si>
    <t>Set rule on above 2 column to WHOLE NUMBER so that it can only accept whole number.</t>
  </si>
  <si>
    <t>Convert the Sales and Profit into ACCOUNTS.</t>
  </si>
  <si>
    <t>Set rule on that columns to accept DECIMAL and whole number both.</t>
  </si>
  <si>
    <t>Set rule to accept only 15 char in above columns.</t>
  </si>
  <si>
    <t>Use data validation to show message "Enter Whole number only" when any Sales cell is selected.</t>
  </si>
  <si>
    <t>Set rule on Category such that it show warring and accepts Char more then 15.</t>
  </si>
  <si>
    <t>Circle all the data or cells which are not as per the data validation rules.</t>
  </si>
  <si>
    <t>Set rule on Ship Date to accept the date range from 1-12-2014 to 31-12-216 now on.</t>
  </si>
  <si>
    <t>Loan Payment</t>
  </si>
  <si>
    <t>Term (Months)</t>
  </si>
  <si>
    <t>Loan Amount</t>
  </si>
  <si>
    <t>Payment</t>
  </si>
  <si>
    <t>Monthly Sales</t>
  </si>
  <si>
    <t>Monthly Costs</t>
  </si>
  <si>
    <t>Marketing</t>
  </si>
  <si>
    <t>Salaries</t>
  </si>
  <si>
    <t>Office Rent</t>
  </si>
  <si>
    <t>Miscellaneous</t>
  </si>
  <si>
    <t>Total Costs</t>
  </si>
  <si>
    <t>Interest Rate (yearly)</t>
  </si>
  <si>
    <t>Term (months)</t>
  </si>
  <si>
    <t>Monthly Payment</t>
  </si>
  <si>
    <t>Rate(years)</t>
  </si>
  <si>
    <t>What will be Terms to pay 600/- per month.</t>
  </si>
  <si>
    <t>What wil be Terms to pay 300/- per month.</t>
  </si>
  <si>
    <t>What will be RATE so you should Pay 600/- per month.</t>
  </si>
  <si>
    <t>Note : Before jumping to next question reset the change.</t>
  </si>
  <si>
    <t xml:space="preserve">Ans : </t>
  </si>
  <si>
    <t>What will be RATE so that you should pay 500/- per month.</t>
  </si>
  <si>
    <t>What will be Profit if Office Rent will be 10,000 or 5,000 or 3,000 or 1000/- Rs.</t>
  </si>
  <si>
    <t>Give me a summary for each secinario.</t>
  </si>
  <si>
    <t>What will be Profit if Total cost increase by 10,000 or 20,000/-.</t>
  </si>
  <si>
    <t>Give a summary as well.</t>
  </si>
  <si>
    <t>Terms</t>
  </si>
  <si>
    <t>Monthly Pay.</t>
  </si>
  <si>
    <t>(Optional)</t>
  </si>
  <si>
    <t xml:space="preserve">Dates </t>
  </si>
  <si>
    <t>Average Views</t>
  </si>
  <si>
    <t>Forecast the Average Views of month 2-3-2025.</t>
  </si>
  <si>
    <t>Forecast the next few months Average Views.</t>
  </si>
  <si>
    <t>Use the Line Chart to Forecast the same.</t>
  </si>
  <si>
    <t>What percentage does each Category contributes in total Profit.</t>
  </si>
  <si>
    <t>QTY</t>
  </si>
  <si>
    <t>Find the Sales trends.</t>
  </si>
  <si>
    <t>Show the Difference in total sale and profit. Of each Sub_category.</t>
  </si>
  <si>
    <t>Find total sales of each Categories and compare the sales of each Category using chart.</t>
  </si>
  <si>
    <t>Use column Customer Name and Qty to check total Qty of items each person purchased. (Use Recommended Charts.)</t>
  </si>
  <si>
    <t>Use SparkLines Chart to show Sales trends in single cell (i.e. N17).</t>
  </si>
  <si>
    <t>e.g. N17</t>
  </si>
  <si>
    <t xml:space="preserve">Compare the sales received from different Category (hints: use Scatter Chart, don’t use Pivot table.) </t>
  </si>
  <si>
    <t xml:space="preserve">Compare the Profit and Sales received from different Category (hints: use Treemap, don't use pivot table) </t>
  </si>
  <si>
    <t>Row Labels</t>
  </si>
  <si>
    <t>Grand Total</t>
  </si>
  <si>
    <t>Sum of QTY</t>
  </si>
  <si>
    <t>Sum of Sales</t>
  </si>
  <si>
    <t>Sum of Profit</t>
  </si>
  <si>
    <t>2014</t>
  </si>
  <si>
    <t>2015</t>
  </si>
  <si>
    <t>2016</t>
  </si>
  <si>
    <t>2017</t>
  </si>
  <si>
    <t>May</t>
  </si>
  <si>
    <t>Jun</t>
  </si>
  <si>
    <t>Sep</t>
  </si>
  <si>
    <t>Nov</t>
  </si>
  <si>
    <t>Oct</t>
  </si>
  <si>
    <t>Dec</t>
  </si>
  <si>
    <t>Apr</t>
  </si>
  <si>
    <t>Spark</t>
  </si>
  <si>
    <t xml:space="preserve"> Average Views </t>
  </si>
  <si>
    <t>Forecast( Average Views )</t>
  </si>
  <si>
    <t>Lower Confidence Bound( Average Views )</t>
  </si>
  <si>
    <t>Upper Confidence Bound( Average Views )</t>
  </si>
  <si>
    <t>$B$6</t>
  </si>
  <si>
    <t>$B$11</t>
  </si>
  <si>
    <t>Rent 10000</t>
  </si>
  <si>
    <t>Created by Harsha Gudekar on 11-08-2025</t>
  </si>
  <si>
    <t>Rent 5000</t>
  </si>
  <si>
    <t>Rent 3000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</si>
  <si>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</si>
  <si>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</si>
  <si>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</si>
  <si>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</si>
  <si>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</si>
  <si>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</si>
  <si>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</si>
  <si>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Rent 1000</t>
  </si>
  <si>
    <t>$B$9</t>
  </si>
  <si>
    <t>SCi-1</t>
  </si>
  <si>
    <t>SCI2</t>
  </si>
  <si>
    <t>INC+10000</t>
  </si>
  <si>
    <t>INC+20000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</si>
</sst>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\ #,##0.00;[Red]&quot;₹&quot;\ \-#,##0.0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"/>
    <numFmt numFmtId="165" formatCode="&quot;₹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theme="1"/>
      <name val="Calibri"/>
      <family val="2"/>
    </font>
    <font>
      <sz val="10"/>
      <name val="Calibri"/>
      <family val="2"/>
    </font>
    <font>
      <b/>
      <sz val="14"/>
      <color rgb="FF000000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b/>
      <sz val="12"/>
      <color theme="1"/>
      <name val="Calibri"/>
      <family val="2"/>
    </font>
    <font>
      <sz val="16"/>
      <color rgb="FF000000"/>
      <name val="Consolas"/>
      <family val="3"/>
    </font>
    <font>
      <b/>
      <sz val="16"/>
      <color rgb="FF000000"/>
      <name val="Consolas"/>
      <family val="3"/>
    </font>
    <font>
      <b/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2">
    <xf numFmtId="0" fontId="0" fillId="0" borderId="0" xfId="0"/>
    <xf numFmtId="14" fontId="0" fillId="0" borderId="0" xfId="0" applyNumberFormat="1"/>
    <xf numFmtId="0" fontId="3" fillId="2" borderId="3" xfId="0" applyFont="1" applyFill="1" applyBorder="1"/>
    <xf numFmtId="0" fontId="0" fillId="0" borderId="5" xfId="0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0" fontId="0" fillId="0" borderId="0" xfId="0" applyAlignment="1">
      <alignment horizontal="center"/>
    </xf>
    <xf numFmtId="0" fontId="4" fillId="0" borderId="0" xfId="0" applyFont="1"/>
    <xf numFmtId="10" fontId="4" fillId="0" borderId="0" xfId="0" applyNumberFormat="1" applyFont="1"/>
    <xf numFmtId="164" fontId="4" fillId="0" borderId="0" xfId="0" applyNumberFormat="1" applyFont="1"/>
    <xf numFmtId="8" fontId="4" fillId="0" borderId="10" xfId="0" applyNumberFormat="1" applyFont="1" applyBorder="1"/>
    <xf numFmtId="0" fontId="6" fillId="0" borderId="0" xfId="0" applyFont="1"/>
    <xf numFmtId="165" fontId="7" fillId="4" borderId="1" xfId="0" applyNumberFormat="1" applyFont="1" applyFill="1" applyBorder="1"/>
    <xf numFmtId="0" fontId="8" fillId="0" borderId="0" xfId="0" applyFont="1"/>
    <xf numFmtId="165" fontId="7" fillId="0" borderId="0" xfId="0" applyNumberFormat="1" applyFont="1"/>
    <xf numFmtId="165" fontId="9" fillId="4" borderId="1" xfId="0" applyNumberFormat="1" applyFont="1" applyFill="1" applyBorder="1"/>
    <xf numFmtId="165" fontId="4" fillId="0" borderId="0" xfId="0" applyNumberFormat="1" applyFont="1"/>
    <xf numFmtId="0" fontId="10" fillId="5" borderId="11" xfId="0" applyFont="1" applyFill="1" applyBorder="1"/>
    <xf numFmtId="3" fontId="10" fillId="6" borderId="1" xfId="0" applyNumberFormat="1" applyFont="1" applyFill="1" applyBorder="1"/>
    <xf numFmtId="10" fontId="10" fillId="6" borderId="1" xfId="0" applyNumberFormat="1" applyFont="1" applyFill="1" applyBorder="1"/>
    <xf numFmtId="0" fontId="10" fillId="6" borderId="1" xfId="0" applyFont="1" applyFill="1" applyBorder="1"/>
    <xf numFmtId="165" fontId="11" fillId="6" borderId="1" xfId="0" applyNumberFormat="1" applyFont="1" applyFill="1" applyBorder="1"/>
    <xf numFmtId="0" fontId="4" fillId="7" borderId="0" xfId="0" applyFont="1" applyFill="1"/>
    <xf numFmtId="0" fontId="4" fillId="8" borderId="0" xfId="0" applyFont="1" applyFill="1"/>
    <xf numFmtId="0" fontId="4" fillId="3" borderId="12" xfId="0" applyFont="1" applyFill="1" applyBorder="1"/>
    <xf numFmtId="0" fontId="4" fillId="3" borderId="13" xfId="0" applyFont="1" applyFill="1" applyBorder="1"/>
    <xf numFmtId="0" fontId="4" fillId="0" borderId="14" xfId="0" applyFont="1" applyBorder="1"/>
    <xf numFmtId="165" fontId="4" fillId="0" borderId="15" xfId="0" applyNumberFormat="1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9" borderId="0" xfId="0" applyFont="1" applyFill="1"/>
    <xf numFmtId="0" fontId="4" fillId="0" borderId="0" xfId="0" applyFont="1" applyAlignment="1">
      <alignment horizontal="center"/>
    </xf>
    <xf numFmtId="0" fontId="4" fillId="9" borderId="0" xfId="0" applyFont="1" applyFill="1" applyAlignment="1">
      <alignment horizontal="center"/>
    </xf>
    <xf numFmtId="0" fontId="4" fillId="8" borderId="0" xfId="0" applyFont="1" applyFill="1" applyAlignment="1">
      <alignment horizontal="left"/>
    </xf>
    <xf numFmtId="0" fontId="12" fillId="2" borderId="0" xfId="0" applyFont="1" applyFill="1"/>
    <xf numFmtId="43" fontId="12" fillId="2" borderId="0" xfId="1" applyFont="1" applyFill="1"/>
    <xf numFmtId="43" fontId="0" fillId="0" borderId="0" xfId="1" applyFont="1"/>
    <xf numFmtId="0" fontId="0" fillId="10" borderId="0" xfId="0" applyFill="1"/>
    <xf numFmtId="0" fontId="13" fillId="2" borderId="3" xfId="0" applyFont="1" applyFill="1" applyBorder="1"/>
    <xf numFmtId="2" fontId="0" fillId="0" borderId="6" xfId="0" applyNumberFormat="1" applyBorder="1"/>
    <xf numFmtId="2" fontId="0" fillId="0" borderId="9" xfId="0" applyNumberFormat="1" applyBorder="1"/>
    <xf numFmtId="0" fontId="14" fillId="0" borderId="0" xfId="0" applyFont="1"/>
    <xf numFmtId="0" fontId="13" fillId="2" borderId="18" xfId="0" applyFont="1" applyFill="1" applyBorder="1"/>
    <xf numFmtId="2" fontId="0" fillId="0" borderId="0" xfId="0" applyNumberFormat="1"/>
    <xf numFmtId="1" fontId="3" fillId="2" borderId="2" xfId="0" applyNumberFormat="1" applyFont="1" applyFill="1" applyBorder="1"/>
    <xf numFmtId="1" fontId="0" fillId="0" borderId="5" xfId="0" applyNumberFormat="1" applyBorder="1"/>
    <xf numFmtId="1" fontId="0" fillId="0" borderId="7" xfId="0" applyNumberFormat="1" applyBorder="1"/>
    <xf numFmtId="44" fontId="13" fillId="2" borderId="3" xfId="0" applyNumberFormat="1" applyFont="1" applyFill="1" applyBorder="1"/>
    <xf numFmtId="44" fontId="0" fillId="0" borderId="0" xfId="0" applyNumberFormat="1"/>
    <xf numFmtId="44" fontId="0" fillId="0" borderId="8" xfId="0" applyNumberFormat="1" applyBorder="1"/>
    <xf numFmtId="44" fontId="13" fillId="2" borderId="4" xfId="0" applyNumberFormat="1" applyFont="1" applyFill="1" applyBorder="1"/>
    <xf numFmtId="44" fontId="0" fillId="0" borderId="6" xfId="0" applyNumberFormat="1" applyBorder="1"/>
    <xf numFmtId="44" fontId="0" fillId="0" borderId="9" xfId="0" applyNumberFormat="1" applyBorder="1"/>
    <xf numFmtId="49" fontId="13" fillId="2" borderId="3" xfId="0" applyNumberFormat="1" applyFont="1" applyFill="1" applyBorder="1"/>
    <xf numFmtId="49" fontId="0" fillId="0" borderId="0" xfId="0" applyNumberFormat="1"/>
    <xf numFmtId="49" fontId="0" fillId="0" borderId="8" xfId="0" applyNumberFormat="1" applyBorder="1"/>
    <xf numFmtId="0" fontId="13" fillId="2" borderId="19" xfId="0" applyFont="1" applyFill="1" applyBorder="1"/>
    <xf numFmtId="0" fontId="13" fillId="2" borderId="2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2" fillId="3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5" fillId="0" borderId="0" xfId="0" applyFont="1"/>
    <xf numFmtId="43" fontId="0" fillId="0" borderId="0" xfId="0" applyNumberFormat="1"/>
    <xf numFmtId="10" fontId="4" fillId="7" borderId="0" xfId="0" applyNumberFormat="1" applyFont="1" applyFill="1"/>
    <xf numFmtId="0" fontId="0" fillId="0" borderId="0" xfId="0" applyFill="1" applyBorder="1" applyAlignment="1"/>
    <xf numFmtId="165" fontId="0" fillId="0" borderId="0" xfId="0" applyNumberFormat="1" applyFill="1" applyBorder="1" applyAlignment="1"/>
    <xf numFmtId="165" fontId="0" fillId="0" borderId="8" xfId="0" applyNumberFormat="1" applyFill="1" applyBorder="1" applyAlignment="1"/>
    <xf numFmtId="0" fontId="15" fillId="11" borderId="22" xfId="0" applyFont="1" applyFill="1" applyBorder="1" applyAlignment="1">
      <alignment horizontal="left"/>
    </xf>
    <xf numFmtId="0" fontId="15" fillId="11" borderId="21" xfId="0" applyFont="1" applyFill="1" applyBorder="1" applyAlignment="1">
      <alignment horizontal="left"/>
    </xf>
    <xf numFmtId="0" fontId="0" fillId="0" borderId="23" xfId="0" applyFill="1" applyBorder="1" applyAlignment="1"/>
    <xf numFmtId="0" fontId="16" fillId="12" borderId="0" xfId="0" applyFont="1" applyFill="1" applyBorder="1" applyAlignment="1">
      <alignment horizontal="left"/>
    </xf>
    <xf numFmtId="0" fontId="17" fillId="12" borderId="23" xfId="0" applyFont="1" applyFill="1" applyBorder="1" applyAlignment="1">
      <alignment horizontal="left"/>
    </xf>
    <xf numFmtId="0" fontId="16" fillId="12" borderId="8" xfId="0" applyFont="1" applyFill="1" applyBorder="1" applyAlignment="1">
      <alignment horizontal="left"/>
    </xf>
    <xf numFmtId="0" fontId="18" fillId="11" borderId="21" xfId="0" applyFont="1" applyFill="1" applyBorder="1" applyAlignment="1">
      <alignment horizontal="right"/>
    </xf>
    <xf numFmtId="0" fontId="18" fillId="11" borderId="22" xfId="0" applyFont="1" applyFill="1" applyBorder="1" applyAlignment="1">
      <alignment horizontal="right"/>
    </xf>
    <xf numFmtId="165" fontId="0" fillId="13" borderId="0" xfId="0" applyNumberFormat="1" applyFill="1" applyBorder="1" applyAlignment="1"/>
    <xf numFmtId="0" fontId="19" fillId="0" borderId="0" xfId="0" applyFont="1" applyFill="1" applyBorder="1" applyAlignment="1">
      <alignment vertical="top" wrapText="1"/>
    </xf>
  </cellXfs>
  <cellStyles count="2">
    <cellStyle name="Comma" xfId="1" builtinId="3"/>
    <cellStyle name="Normal" xfId="0" builtinId="0"/>
  </cellStyles>
  <dxfs count="12"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9" formatCode="dd/mm/yyyy"/>
    </dxf>
    <dxf>
      <numFmt numFmtId="35" formatCode="_ * #,##0.00_ ;_ * \-#,##0.00_ ;_ * &quot;-&quot;??_ ;_ @_ "/>
    </dxf>
    <dxf>
      <numFmt numFmtId="19" formatCode="dd/mm/yyyy"/>
    </dxf>
    <dxf>
      <numFmt numFmtId="2" formatCode="0.0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9" formatCode="dd/mm/yyyy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[Atharv_gudekar_Assignment_5.xlsx]P1!PivotTable5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05-4C14-8C64-46082901A9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05-4C14-8C64-46082901A9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E05-4C14-8C64-46082901A92F}"/>
              </c:ext>
            </c:extLst>
          </c:dPt>
          <c:cat>
            <c:strRef>
              <c:f>'P1'!$A$4:$A$7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'P1'!$B$4:$B$7</c:f>
              <c:numCache>
                <c:formatCode>0.00%</c:formatCode>
                <c:ptCount val="3"/>
                <c:pt idx="0">
                  <c:v>-8.2021304089947678E-2</c:v>
                </c:pt>
                <c:pt idx="1">
                  <c:v>0.43095061459826628</c:v>
                </c:pt>
                <c:pt idx="2">
                  <c:v>0.65107068949168156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9E-4B47-871F-5A32E740D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[Atharv_gudekar_Assignment_5.xlsx]P2!PivotTable6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'P2'!$A$4:$A$18</c:f>
              <c:multiLvlStrCache>
                <c:ptCount val="10"/>
                <c:lvl>
                  <c:pt idx="0">
                    <c:v>May</c:v>
                  </c:pt>
                  <c:pt idx="1">
                    <c:v>Jun</c:v>
                  </c:pt>
                  <c:pt idx="2">
                    <c:v>Sep</c:v>
                  </c:pt>
                  <c:pt idx="3">
                    <c:v>Nov</c:v>
                  </c:pt>
                  <c:pt idx="4">
                    <c:v>Oct</c:v>
                  </c:pt>
                  <c:pt idx="5">
                    <c:v>Nov</c:v>
                  </c:pt>
                  <c:pt idx="6">
                    <c:v>Jun</c:v>
                  </c:pt>
                  <c:pt idx="7">
                    <c:v>Nov</c:v>
                  </c:pt>
                  <c:pt idx="8">
                    <c:v>Dec</c:v>
                  </c:pt>
                  <c:pt idx="9">
                    <c:v>Apr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6">
                    <c:v>2016</c:v>
                  </c:pt>
                  <c:pt idx="9">
                    <c:v>2017</c:v>
                  </c:pt>
                </c:lvl>
              </c:multiLvlStrCache>
            </c:multiLvlStrRef>
          </c:cat>
          <c:val>
            <c:numRef>
              <c:f>'P2'!$B$4:$B$18</c:f>
              <c:numCache>
                <c:formatCode>General</c:formatCode>
                <c:ptCount val="10"/>
                <c:pt idx="0">
                  <c:v>55.5</c:v>
                </c:pt>
                <c:pt idx="1">
                  <c:v>3714.3040000000001</c:v>
                </c:pt>
                <c:pt idx="2">
                  <c:v>244.76000000000002</c:v>
                </c:pt>
                <c:pt idx="3">
                  <c:v>665.88</c:v>
                </c:pt>
                <c:pt idx="4">
                  <c:v>979.94550000000004</c:v>
                </c:pt>
                <c:pt idx="5">
                  <c:v>71.353999999999985</c:v>
                </c:pt>
                <c:pt idx="6">
                  <c:v>14.62</c:v>
                </c:pt>
                <c:pt idx="7">
                  <c:v>993.89999999999986</c:v>
                </c:pt>
                <c:pt idx="8">
                  <c:v>487.77600000000001</c:v>
                </c:pt>
                <c:pt idx="9">
                  <c:v>15.552000000000003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27-40A4-AC1C-3E5001A3E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053471"/>
        <c:axId val="1424026111"/>
      </c:lineChart>
      <c:catAx>
        <c:axId val="142405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26111"/>
        <c:crosses val="autoZero"/>
        <c:auto val="1"/>
        <c:lblAlgn val="ctr"/>
        <c:lblOffset val="100"/>
        <c:noMultiLvlLbl val="0"/>
      </c:catAx>
      <c:valAx>
        <c:axId val="142402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5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[Atharv_gudekar_Assignment_5.xlsx]Sheet6!PivotTable7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Sheet6!$A$4:$A$15</c:f>
              <c:strCache>
                <c:ptCount val="11"/>
                <c:pt idx="0">
                  <c:v>Appliances</c:v>
                </c:pt>
                <c:pt idx="1">
                  <c:v>Art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Furnishings</c:v>
                </c:pt>
                <c:pt idx="6">
                  <c:v>Labels</c:v>
                </c:pt>
                <c:pt idx="7">
                  <c:v>Paper</c:v>
                </c:pt>
                <c:pt idx="8">
                  <c:v>Phones</c:v>
                </c:pt>
                <c:pt idx="9">
                  <c:v>Storage</c:v>
                </c:pt>
                <c:pt idx="10">
                  <c:v>Tables</c:v>
                </c:pt>
              </c:strCache>
            </c:strRef>
          </c:cat>
          <c:val>
            <c:numRef>
              <c:f>Sheet6!$B$4:$B$15</c:f>
              <c:numCache>
                <c:formatCode>General</c:formatCode>
                <c:ptCount val="11"/>
                <c:pt idx="0">
                  <c:v>244.04999999999998</c:v>
                </c:pt>
                <c:pt idx="1">
                  <c:v>35.299999999999997</c:v>
                </c:pt>
                <c:pt idx="2">
                  <c:v>451.74400000000003</c:v>
                </c:pt>
                <c:pt idx="3">
                  <c:v>261.95999999999998</c:v>
                </c:pt>
                <c:pt idx="4">
                  <c:v>731.93999999999994</c:v>
                </c:pt>
                <c:pt idx="5">
                  <c:v>48.86</c:v>
                </c:pt>
                <c:pt idx="6">
                  <c:v>14.62</c:v>
                </c:pt>
                <c:pt idx="7">
                  <c:v>15.552000000000003</c:v>
                </c:pt>
                <c:pt idx="8">
                  <c:v>2032.056</c:v>
                </c:pt>
                <c:pt idx="9">
                  <c:v>743.74800000000005</c:v>
                </c:pt>
                <c:pt idx="10">
                  <c:v>2663.7615000000001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C-40E1-B4C7-32DF7831A723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Sheet6!$A$4:$A$15</c:f>
              <c:strCache>
                <c:ptCount val="11"/>
                <c:pt idx="0">
                  <c:v>Appliances</c:v>
                </c:pt>
                <c:pt idx="1">
                  <c:v>Art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Furnishings</c:v>
                </c:pt>
                <c:pt idx="6">
                  <c:v>Labels</c:v>
                </c:pt>
                <c:pt idx="7">
                  <c:v>Paper</c:v>
                </c:pt>
                <c:pt idx="8">
                  <c:v>Phones</c:v>
                </c:pt>
                <c:pt idx="9">
                  <c:v>Storage</c:v>
                </c:pt>
                <c:pt idx="10">
                  <c:v>Tables</c:v>
                </c:pt>
              </c:strCache>
            </c:strRef>
          </c:cat>
          <c:val>
            <c:numRef>
              <c:f>Sheet6!$C$4:$C$15</c:f>
              <c:numCache>
                <c:formatCode>0.00</c:formatCode>
                <c:ptCount val="11"/>
                <c:pt idx="0">
                  <c:v>-73.699600000000004</c:v>
                </c:pt>
                <c:pt idx="1">
                  <c:v>9.5076000000000001</c:v>
                </c:pt>
                <c:pt idx="2">
                  <c:v>141.94269999999992</c:v>
                </c:pt>
                <c:pt idx="3">
                  <c:v>41.913600000000002</c:v>
                </c:pt>
                <c:pt idx="4">
                  <c:v>219.58199999999997</c:v>
                </c:pt>
                <c:pt idx="5">
                  <c:v>14.169399999999996</c:v>
                </c:pt>
                <c:pt idx="6">
                  <c:v>6.8713999999999995</c:v>
                </c:pt>
                <c:pt idx="7">
                  <c:v>5.4432</c:v>
                </c:pt>
                <c:pt idx="8">
                  <c:v>175.08300000000003</c:v>
                </c:pt>
                <c:pt idx="9">
                  <c:v>25.823999999999991</c:v>
                </c:pt>
                <c:pt idx="10">
                  <c:v>-297.72180000000026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C-40E1-B4C7-32DF7831A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079391"/>
        <c:axId val="1424074111"/>
      </c:barChart>
      <c:catAx>
        <c:axId val="142407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74111"/>
        <c:crosses val="autoZero"/>
        <c:auto val="1"/>
        <c:lblAlgn val="ctr"/>
        <c:lblOffset val="100"/>
        <c:noMultiLvlLbl val="0"/>
      </c:catAx>
      <c:valAx>
        <c:axId val="14240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7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[Atharv_gudekar_Assignment_5.xlsx]Sheet7!PivotTable8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Sheet7!$A$4:$A$15</c:f>
              <c:strCache>
                <c:ptCount val="11"/>
                <c:pt idx="0">
                  <c:v>Zuschuss Donatelli</c:v>
                </c:pt>
                <c:pt idx="1">
                  <c:v>Sean O'Donnell</c:v>
                </c:pt>
                <c:pt idx="2">
                  <c:v>Pete Kriz</c:v>
                </c:pt>
                <c:pt idx="3">
                  <c:v>Ken Black</c:v>
                </c:pt>
                <c:pt idx="4">
                  <c:v>Irene Maddox</c:v>
                </c:pt>
                <c:pt idx="5">
                  <c:v>Harold Pawlan</c:v>
                </c:pt>
                <c:pt idx="6">
                  <c:v>Darrin Van Huff</c:v>
                </c:pt>
                <c:pt idx="7">
                  <c:v>Claire Gute</c:v>
                </c:pt>
                <c:pt idx="8">
                  <c:v>Brosina Hoffman</c:v>
                </c:pt>
                <c:pt idx="9">
                  <c:v>Andrew Allen</c:v>
                </c:pt>
                <c:pt idx="10">
                  <c:v>Alejandro Grove</c:v>
                </c:pt>
              </c:strCache>
            </c:strRef>
          </c:cat>
          <c:val>
            <c:numRef>
              <c:f>Sheet7!$B$4:$B$15</c:f>
              <c:numCache>
                <c:formatCode>General</c:formatCode>
                <c:ptCount val="11"/>
                <c:pt idx="0">
                  <c:v>9</c:v>
                </c:pt>
                <c:pt idx="1">
                  <c:v>7</c:v>
                </c:pt>
                <c:pt idx="2">
                  <c:v>6</c:v>
                </c:pt>
                <c:pt idx="3">
                  <c:v>14</c:v>
                </c:pt>
                <c:pt idx="4">
                  <c:v>3</c:v>
                </c:pt>
                <c:pt idx="5">
                  <c:v>8</c:v>
                </c:pt>
                <c:pt idx="6">
                  <c:v>2</c:v>
                </c:pt>
                <c:pt idx="7">
                  <c:v>5</c:v>
                </c:pt>
                <c:pt idx="8">
                  <c:v>38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3-4E64-B3D4-13880C73E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4057791"/>
        <c:axId val="1424060671"/>
      </c:barChart>
      <c:catAx>
        <c:axId val="142405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60671"/>
        <c:crosses val="autoZero"/>
        <c:auto val="1"/>
        <c:lblAlgn val="ctr"/>
        <c:lblOffset val="100"/>
        <c:noMultiLvlLbl val="0"/>
      </c:catAx>
      <c:valAx>
        <c:axId val="142406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5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Charts!$G$3:$G$25</c:f>
              <c:strCache>
                <c:ptCount val="23"/>
                <c:pt idx="0">
                  <c:v>Furniture</c:v>
                </c:pt>
                <c:pt idx="1">
                  <c:v>Furniture</c:v>
                </c:pt>
                <c:pt idx="2">
                  <c:v>Office Supplies</c:v>
                </c:pt>
                <c:pt idx="3">
                  <c:v>Furniture</c:v>
                </c:pt>
                <c:pt idx="4">
                  <c:v>Office Supplies</c:v>
                </c:pt>
                <c:pt idx="5">
                  <c:v>Furniture</c:v>
                </c:pt>
                <c:pt idx="6">
                  <c:v>Office Supplies</c:v>
                </c:pt>
                <c:pt idx="7">
                  <c:v>Technology</c:v>
                </c:pt>
                <c:pt idx="8">
                  <c:v>Office Supplies</c:v>
                </c:pt>
                <c:pt idx="9">
                  <c:v>Office Supplies</c:v>
                </c:pt>
                <c:pt idx="10">
                  <c:v>Furniture</c:v>
                </c:pt>
                <c:pt idx="11">
                  <c:v>Technology</c:v>
                </c:pt>
                <c:pt idx="12">
                  <c:v>Office Supplies</c:v>
                </c:pt>
                <c:pt idx="13">
                  <c:v>Office Supplies</c:v>
                </c:pt>
                <c:pt idx="14">
                  <c:v>Office Supplies</c:v>
                </c:pt>
                <c:pt idx="15">
                  <c:v>Office Supplies</c:v>
                </c:pt>
                <c:pt idx="16">
                  <c:v>Office Supplies</c:v>
                </c:pt>
                <c:pt idx="17">
                  <c:v>Office Supplies</c:v>
                </c:pt>
                <c:pt idx="18">
                  <c:v>Office Supplies</c:v>
                </c:pt>
                <c:pt idx="19">
                  <c:v>Technology</c:v>
                </c:pt>
                <c:pt idx="20">
                  <c:v>Office Supplies</c:v>
                </c:pt>
                <c:pt idx="21">
                  <c:v>Office Supplies</c:v>
                </c:pt>
                <c:pt idx="22">
                  <c:v>Office Supplies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Charts!$I$2</c:f>
              <c:strCache>
                <c:ptCount val="1"/>
                <c:pt idx="0">
                  <c:v>Sales</c:v>
                </c:pt>
              </c:strCache>
            </c:strRef>
          </c:xVal>
          <c:yVal>
            <c:numRef>
              <c:f>Charts!$I$3:$I$25</c:f>
              <c:numCache>
                <c:formatCode>General</c:formatCode>
                <c:ptCount val="23"/>
                <c:pt idx="0">
                  <c:v>261.95999999999998</c:v>
                </c:pt>
                <c:pt idx="1">
                  <c:v>731.93999999999994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22.368000000000002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  <c:pt idx="10">
                  <c:v>1706.1840000000002</c:v>
                </c:pt>
                <c:pt idx="11">
                  <c:v>911.42399999999998</c:v>
                </c:pt>
                <c:pt idx="12">
                  <c:v>15.552000000000003</c:v>
                </c:pt>
                <c:pt idx="13">
                  <c:v>407.97600000000006</c:v>
                </c:pt>
                <c:pt idx="14">
                  <c:v>68.809999999999988</c:v>
                </c:pt>
                <c:pt idx="15">
                  <c:v>2.5439999999999996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213.48000000000002</c:v>
                </c:pt>
                <c:pt idx="20">
                  <c:v>22.72</c:v>
                </c:pt>
                <c:pt idx="21">
                  <c:v>19.459999999999997</c:v>
                </c:pt>
                <c:pt idx="22">
                  <c:v>60.339999999999996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FA-46D6-B0ED-02A577E07551}"/>
            </c:ext>
          </c:extLst>
        </c:ser>
        <c:ser>
          <c:idx val="1"/>
          <c:order val="1"/>
          <c:tx>
            <c:strRef>
              <c:f>Charts!$J$2</c:f>
              <c:strCache>
                <c:ptCount val="1"/>
                <c:pt idx="0">
                  <c:v>QTY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Charts!$G$3:$G$25</c:f>
              <c:strCache>
                <c:ptCount val="23"/>
                <c:pt idx="0">
                  <c:v>Furniture</c:v>
                </c:pt>
                <c:pt idx="1">
                  <c:v>Furniture</c:v>
                </c:pt>
                <c:pt idx="2">
                  <c:v>Office Supplies</c:v>
                </c:pt>
                <c:pt idx="3">
                  <c:v>Furniture</c:v>
                </c:pt>
                <c:pt idx="4">
                  <c:v>Office Supplies</c:v>
                </c:pt>
                <c:pt idx="5">
                  <c:v>Furniture</c:v>
                </c:pt>
                <c:pt idx="6">
                  <c:v>Office Supplies</c:v>
                </c:pt>
                <c:pt idx="7">
                  <c:v>Technology</c:v>
                </c:pt>
                <c:pt idx="8">
                  <c:v>Office Supplies</c:v>
                </c:pt>
                <c:pt idx="9">
                  <c:v>Office Supplies</c:v>
                </c:pt>
                <c:pt idx="10">
                  <c:v>Furniture</c:v>
                </c:pt>
                <c:pt idx="11">
                  <c:v>Technology</c:v>
                </c:pt>
                <c:pt idx="12">
                  <c:v>Office Supplies</c:v>
                </c:pt>
                <c:pt idx="13">
                  <c:v>Office Supplies</c:v>
                </c:pt>
                <c:pt idx="14">
                  <c:v>Office Supplies</c:v>
                </c:pt>
                <c:pt idx="15">
                  <c:v>Office Supplies</c:v>
                </c:pt>
                <c:pt idx="16">
                  <c:v>Office Supplies</c:v>
                </c:pt>
                <c:pt idx="17">
                  <c:v>Office Supplies</c:v>
                </c:pt>
                <c:pt idx="18">
                  <c:v>Office Supplies</c:v>
                </c:pt>
                <c:pt idx="19">
                  <c:v>Technology</c:v>
                </c:pt>
                <c:pt idx="20">
                  <c:v>Office Supplies</c:v>
                </c:pt>
                <c:pt idx="21">
                  <c:v>Office Supplies</c:v>
                </c:pt>
                <c:pt idx="22">
                  <c:v>Office Supplies</c:v>
                </c:pt>
              </c:strCache>
            </c:strRef>
          </c:xVal>
          <c:yVal>
            <c:numRef>
              <c:f>Charts!$J$3:$J$25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  <c:pt idx="9">
                  <c:v>5</c:v>
                </c:pt>
                <c:pt idx="10">
                  <c:v>9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3</c:v>
                </c:pt>
                <c:pt idx="16">
                  <c:v>6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FA-46D6-B0ED-02A577E07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390639"/>
        <c:axId val="1621385839"/>
      </c:scatterChart>
      <c:valAx>
        <c:axId val="162139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85839"/>
        <c:crosses val="autoZero"/>
        <c:crossBetween val="midCat"/>
      </c:valAx>
      <c:valAx>
        <c:axId val="162138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90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 Average Views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Sheet2!$B$2:$B$15</c:f>
              <c:numCache>
                <c:formatCode>_(* #,##0.00_);_(* \(#,##0.00\);_(* "-"??_);_(@_)</c:formatCode>
                <c:ptCount val="14"/>
                <c:pt idx="0">
                  <c:v>10020</c:v>
                </c:pt>
                <c:pt idx="1">
                  <c:v>22001</c:v>
                </c:pt>
                <c:pt idx="2">
                  <c:v>30023</c:v>
                </c:pt>
                <c:pt idx="3">
                  <c:v>32001</c:v>
                </c:pt>
                <c:pt idx="4">
                  <c:v>35423</c:v>
                </c:pt>
                <c:pt idx="5">
                  <c:v>34534</c:v>
                </c:pt>
                <c:pt idx="6">
                  <c:v>23234</c:v>
                </c:pt>
                <c:pt idx="7">
                  <c:v>56788</c:v>
                </c:pt>
                <c:pt idx="8">
                  <c:v>56789</c:v>
                </c:pt>
                <c:pt idx="9">
                  <c:v>65789</c:v>
                </c:pt>
                <c:pt idx="10">
                  <c:v>67943</c:v>
                </c:pt>
                <c:pt idx="11">
                  <c:v>70898</c:v>
                </c:pt>
                <c:pt idx="12">
                  <c:v>34234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0B-4D04-841B-D61E10736BE5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 Average Views 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Sheet2!$A$2:$A$15</c:f>
              <c:numCache>
                <c:formatCode>m/d/yyyy</c:formatCode>
                <c:ptCount val="14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</c:numCache>
            </c:numRef>
          </c:cat>
          <c:val>
            <c:numRef>
              <c:f>Sheet2!$C$2:$C$15</c:f>
              <c:numCache>
                <c:formatCode>General</c:formatCode>
                <c:ptCount val="14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66181.948517937504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0B-4D04-841B-D61E10736BE5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 Average Views 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Sheet2!$A$2:$A$15</c:f>
              <c:numCache>
                <c:formatCode>m/d/yyyy</c:formatCode>
                <c:ptCount val="14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</c:numCache>
            </c:numRef>
          </c:cat>
          <c:val>
            <c:numRef>
              <c:f>Sheet2!$D$2:$D$15</c:f>
              <c:numCache>
                <c:formatCode>General</c:formatCode>
                <c:ptCount val="14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39126.292620501423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0B-4D04-841B-D61E10736BE5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 Average Views 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Sheet2!$A$2:$A$15</c:f>
              <c:numCache>
                <c:formatCode>m/d/yyyy</c:formatCode>
                <c:ptCount val="14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</c:numCache>
            </c:numRef>
          </c:cat>
          <c:val>
            <c:numRef>
              <c:f>Sheet2!$E$2:$E$15</c:f>
              <c:numCache>
                <c:formatCode>General</c:formatCode>
                <c:ptCount val="14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93237.604415373586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0B-4D04-841B-D61E10736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90576"/>
        <c:axId val="198699216"/>
      </c:lineChart>
      <c:catAx>
        <c:axId val="19869057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9216"/>
        <c:crosses val="autoZero"/>
        <c:auto val="1"/>
        <c:lblAlgn val="ctr"/>
        <c:lblOffset val="100"/>
        <c:noMultiLvlLbl val="0"/>
      </c:catAx>
      <c:valAx>
        <c:axId val="19869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 Average Views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Sheet3!$B$2:$B$18</c:f>
              <c:numCache>
                <c:formatCode>_(* #,##0.00_);_(* \(#,##0.00\);_(* "-"??_);_(@_)</c:formatCode>
                <c:ptCount val="17"/>
                <c:pt idx="0">
                  <c:v>10020</c:v>
                </c:pt>
                <c:pt idx="1">
                  <c:v>22001</c:v>
                </c:pt>
                <c:pt idx="2">
                  <c:v>30023</c:v>
                </c:pt>
                <c:pt idx="3">
                  <c:v>32001</c:v>
                </c:pt>
                <c:pt idx="4">
                  <c:v>35423</c:v>
                </c:pt>
                <c:pt idx="5">
                  <c:v>34534</c:v>
                </c:pt>
                <c:pt idx="6">
                  <c:v>23234</c:v>
                </c:pt>
                <c:pt idx="7">
                  <c:v>56788</c:v>
                </c:pt>
                <c:pt idx="8">
                  <c:v>56789</c:v>
                </c:pt>
                <c:pt idx="9">
                  <c:v>65789</c:v>
                </c:pt>
                <c:pt idx="10">
                  <c:v>67943</c:v>
                </c:pt>
                <c:pt idx="11">
                  <c:v>70898</c:v>
                </c:pt>
                <c:pt idx="12">
                  <c:v>34234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9F-47D2-8933-45C08054BC5C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Forecast( Average Views 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Sheet3!$A$2:$A$18</c:f>
              <c:numCache>
                <c:formatCode>m/d/yyyy</c:formatCode>
                <c:ptCount val="17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  <c:pt idx="14">
                  <c:v>45749</c:v>
                </c:pt>
                <c:pt idx="15">
                  <c:v>45779</c:v>
                </c:pt>
                <c:pt idx="16">
                  <c:v>45810</c:v>
                </c:pt>
              </c:numCache>
            </c:numRef>
          </c:cat>
          <c:val>
            <c:numRef>
              <c:f>Sheet3!$C$2:$C$18</c:f>
              <c:numCache>
                <c:formatCode>General</c:formatCode>
                <c:ptCount val="17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66181.948517937504</c:v>
                </c:pt>
                <c:pt idx="14" formatCode="_(* #,##0.00_);_(* \(#,##0.00\);_(* &quot;-&quot;??_);_(@_)">
                  <c:v>70091.952730737423</c:v>
                </c:pt>
                <c:pt idx="15" formatCode="_(* #,##0.00_);_(* \(#,##0.00\);_(* &quot;-&quot;??_);_(@_)">
                  <c:v>74001.9569435374</c:v>
                </c:pt>
                <c:pt idx="16" formatCode="_(* #,##0.00_);_(* \(#,##0.00\);_(* &quot;-&quot;??_);_(@_)">
                  <c:v>77911.961156337318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9F-47D2-8933-45C08054BC5C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Lower Confidence Bound( Average Views 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Sheet3!$A$2:$A$18</c:f>
              <c:numCache>
                <c:formatCode>m/d/yyyy</c:formatCode>
                <c:ptCount val="17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  <c:pt idx="14">
                  <c:v>45749</c:v>
                </c:pt>
                <c:pt idx="15">
                  <c:v>45779</c:v>
                </c:pt>
                <c:pt idx="16">
                  <c:v>45810</c:v>
                </c:pt>
              </c:numCache>
            </c:numRef>
          </c:cat>
          <c:val>
            <c:numRef>
              <c:f>Sheet3!$D$2:$D$18</c:f>
              <c:numCache>
                <c:formatCode>General</c:formatCode>
                <c:ptCount val="17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39126.292620501423</c:v>
                </c:pt>
                <c:pt idx="14" formatCode="_(* #,##0.00_);_(* \(#,##0.00\);_(* &quot;-&quot;??_);_(@_)">
                  <c:v>42197.046662432891</c:v>
                </c:pt>
                <c:pt idx="15" formatCode="_(* #,##0.00_);_(* \(#,##0.00\);_(* &quot;-&quot;??_);_(@_)">
                  <c:v>45285.911718573581</c:v>
                </c:pt>
                <c:pt idx="16" formatCode="_(* #,##0.00_);_(* \(#,##0.00\);_(* &quot;-&quot;??_);_(@_)">
                  <c:v>48391.351635776919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9F-47D2-8933-45C08054BC5C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Upper Confidence Bound( Average Views 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Sheet3!$A$2:$A$18</c:f>
              <c:numCache>
                <c:formatCode>m/d/yyyy</c:formatCode>
                <c:ptCount val="17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  <c:pt idx="14">
                  <c:v>45749</c:v>
                </c:pt>
                <c:pt idx="15">
                  <c:v>45779</c:v>
                </c:pt>
                <c:pt idx="16">
                  <c:v>45810</c:v>
                </c:pt>
              </c:numCache>
            </c:numRef>
          </c:cat>
          <c:val>
            <c:numRef>
              <c:f>Sheet3!$E$2:$E$18</c:f>
              <c:numCache>
                <c:formatCode>General</c:formatCode>
                <c:ptCount val="17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93237.604415373586</c:v>
                </c:pt>
                <c:pt idx="14" formatCode="_(* #,##0.00_);_(* \(#,##0.00\);_(* &quot;-&quot;??_);_(@_)">
                  <c:v>97986.858799041947</c:v>
                </c:pt>
                <c:pt idx="15" formatCode="_(* #,##0.00_);_(* \(#,##0.00\);_(* &quot;-&quot;??_);_(@_)">
                  <c:v>102718.00216850122</c:v>
                </c:pt>
                <c:pt idx="16" formatCode="_(* #,##0.00_);_(* \(#,##0.00\);_(* &quot;-&quot;??_);_(@_)">
                  <c:v>107432.57067689771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9F-47D2-8933-45C08054B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82880"/>
        <c:axId val="200383840"/>
      </c:lineChart>
      <c:catAx>
        <c:axId val="20038288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83840"/>
        <c:crosses val="autoZero"/>
        <c:auto val="1"/>
        <c:lblAlgn val="ctr"/>
        <c:lblOffset val="100"/>
        <c:noMultiLvlLbl val="0"/>
      </c:catAx>
      <c:valAx>
        <c:axId val="20038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 Average Views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Sheet2!$B$2:$B$15</c:f>
              <c:numCache>
                <c:formatCode>_(* #,##0.00_);_(* \(#,##0.00\);_(* "-"??_);_(@_)</c:formatCode>
                <c:ptCount val="14"/>
                <c:pt idx="0">
                  <c:v>10020</c:v>
                </c:pt>
                <c:pt idx="1">
                  <c:v>22001</c:v>
                </c:pt>
                <c:pt idx="2">
                  <c:v>30023</c:v>
                </c:pt>
                <c:pt idx="3">
                  <c:v>32001</c:v>
                </c:pt>
                <c:pt idx="4">
                  <c:v>35423</c:v>
                </c:pt>
                <c:pt idx="5">
                  <c:v>34534</c:v>
                </c:pt>
                <c:pt idx="6">
                  <c:v>23234</c:v>
                </c:pt>
                <c:pt idx="7">
                  <c:v>56788</c:v>
                </c:pt>
                <c:pt idx="8">
                  <c:v>56789</c:v>
                </c:pt>
                <c:pt idx="9">
                  <c:v>65789</c:v>
                </c:pt>
                <c:pt idx="10">
                  <c:v>67943</c:v>
                </c:pt>
                <c:pt idx="11">
                  <c:v>70898</c:v>
                </c:pt>
                <c:pt idx="12">
                  <c:v>34234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EF-4945-B4C5-00F91D197B91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 Average Views 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Sheet2!$A$2:$A$15</c:f>
              <c:numCache>
                <c:formatCode>m/d/yyyy</c:formatCode>
                <c:ptCount val="14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</c:numCache>
            </c:numRef>
          </c:cat>
          <c:val>
            <c:numRef>
              <c:f>Sheet2!$C$2:$C$15</c:f>
              <c:numCache>
                <c:formatCode>General</c:formatCode>
                <c:ptCount val="14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66181.948517937504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EF-4945-B4C5-00F91D197B91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 Average Views 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Sheet2!$A$2:$A$15</c:f>
              <c:numCache>
                <c:formatCode>m/d/yyyy</c:formatCode>
                <c:ptCount val="14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</c:numCache>
            </c:numRef>
          </c:cat>
          <c:val>
            <c:numRef>
              <c:f>Sheet2!$D$2:$D$15</c:f>
              <c:numCache>
                <c:formatCode>General</c:formatCode>
                <c:ptCount val="14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39126.292620501423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EF-4945-B4C5-00F91D197B91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 Average Views 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Sheet2!$A$2:$A$15</c:f>
              <c:numCache>
                <c:formatCode>m/d/yyyy</c:formatCode>
                <c:ptCount val="14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</c:numCache>
            </c:numRef>
          </c:cat>
          <c:val>
            <c:numRef>
              <c:f>Sheet2!$E$2:$E$15</c:f>
              <c:numCache>
                <c:formatCode>General</c:formatCode>
                <c:ptCount val="14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93237.604415373586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EF-4945-B4C5-00F91D197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90576"/>
        <c:axId val="198699216"/>
      </c:lineChart>
      <c:catAx>
        <c:axId val="19869057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9216"/>
        <c:crosses val="autoZero"/>
        <c:auto val="1"/>
        <c:lblAlgn val="ctr"/>
        <c:lblOffset val="100"/>
        <c:noMultiLvlLbl val="0"/>
      </c:catAx>
      <c:valAx>
        <c:axId val="19869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9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Forecast!$B$2</c:f>
              <c:strCache>
                <c:ptCount val="1"/>
                <c:pt idx="0">
                  <c:v> Average Views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Forecast!$A$3:$A$16</c:f>
              <c:numCache>
                <c:formatCode>m/d/yyyy</c:formatCode>
                <c:ptCount val="14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</c:numCache>
            </c:numRef>
          </c:cat>
          <c:val>
            <c:numRef>
              <c:f>Forecast!$B$3:$B$16</c:f>
              <c:numCache>
                <c:formatCode>_(* #,##0.00_);_(* \(#,##0.00\);_(* "-"??_);_(@_)</c:formatCode>
                <c:ptCount val="14"/>
                <c:pt idx="0">
                  <c:v>10020</c:v>
                </c:pt>
                <c:pt idx="1">
                  <c:v>22001</c:v>
                </c:pt>
                <c:pt idx="2">
                  <c:v>30023</c:v>
                </c:pt>
                <c:pt idx="3">
                  <c:v>32001</c:v>
                </c:pt>
                <c:pt idx="4">
                  <c:v>35423</c:v>
                </c:pt>
                <c:pt idx="5">
                  <c:v>34534</c:v>
                </c:pt>
                <c:pt idx="6">
                  <c:v>23234</c:v>
                </c:pt>
                <c:pt idx="7">
                  <c:v>56788</c:v>
                </c:pt>
                <c:pt idx="8">
                  <c:v>56789</c:v>
                </c:pt>
                <c:pt idx="9">
                  <c:v>65789</c:v>
                </c:pt>
                <c:pt idx="10">
                  <c:v>67943</c:v>
                </c:pt>
                <c:pt idx="11">
                  <c:v>70898</c:v>
                </c:pt>
                <c:pt idx="12">
                  <c:v>34234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A-44E8-AC4D-5334671EE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30080"/>
        <c:axId val="200324800"/>
      </c:lineChart>
      <c:dateAx>
        <c:axId val="200330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24800"/>
        <c:crossesAt val="0"/>
        <c:auto val="1"/>
        <c:lblOffset val="100"/>
        <c:baseTimeUnit val="months"/>
      </c:dateAx>
      <c:valAx>
        <c:axId val="20032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3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 Average Views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Sheet3!$B$2:$B$18</c:f>
              <c:numCache>
                <c:formatCode>_(* #,##0.00_);_(* \(#,##0.00\);_(* "-"??_);_(@_)</c:formatCode>
                <c:ptCount val="17"/>
                <c:pt idx="0">
                  <c:v>10020</c:v>
                </c:pt>
                <c:pt idx="1">
                  <c:v>22001</c:v>
                </c:pt>
                <c:pt idx="2">
                  <c:v>30023</c:v>
                </c:pt>
                <c:pt idx="3">
                  <c:v>32001</c:v>
                </c:pt>
                <c:pt idx="4">
                  <c:v>35423</c:v>
                </c:pt>
                <c:pt idx="5">
                  <c:v>34534</c:v>
                </c:pt>
                <c:pt idx="6">
                  <c:v>23234</c:v>
                </c:pt>
                <c:pt idx="7">
                  <c:v>56788</c:v>
                </c:pt>
                <c:pt idx="8">
                  <c:v>56789</c:v>
                </c:pt>
                <c:pt idx="9">
                  <c:v>65789</c:v>
                </c:pt>
                <c:pt idx="10">
                  <c:v>67943</c:v>
                </c:pt>
                <c:pt idx="11">
                  <c:v>70898</c:v>
                </c:pt>
                <c:pt idx="12">
                  <c:v>34234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E-4EFB-974F-4C3D8E3F84F7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Forecast( Average Views 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Sheet3!$A$2:$A$18</c:f>
              <c:numCache>
                <c:formatCode>m/d/yyyy</c:formatCode>
                <c:ptCount val="17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  <c:pt idx="14">
                  <c:v>45749</c:v>
                </c:pt>
                <c:pt idx="15">
                  <c:v>45779</c:v>
                </c:pt>
                <c:pt idx="16">
                  <c:v>45810</c:v>
                </c:pt>
              </c:numCache>
            </c:numRef>
          </c:cat>
          <c:val>
            <c:numRef>
              <c:f>Sheet3!$C$2:$C$18</c:f>
              <c:numCache>
                <c:formatCode>General</c:formatCode>
                <c:ptCount val="17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66181.948517937504</c:v>
                </c:pt>
                <c:pt idx="14" formatCode="_(* #,##0.00_);_(* \(#,##0.00\);_(* &quot;-&quot;??_);_(@_)">
                  <c:v>70091.952730737423</c:v>
                </c:pt>
                <c:pt idx="15" formatCode="_(* #,##0.00_);_(* \(#,##0.00\);_(* &quot;-&quot;??_);_(@_)">
                  <c:v>74001.9569435374</c:v>
                </c:pt>
                <c:pt idx="16" formatCode="_(* #,##0.00_);_(* \(#,##0.00\);_(* &quot;-&quot;??_);_(@_)">
                  <c:v>77911.961156337318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9E-4EFB-974F-4C3D8E3F84F7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Lower Confidence Bound( Average Views 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Sheet3!$A$2:$A$18</c:f>
              <c:numCache>
                <c:formatCode>m/d/yyyy</c:formatCode>
                <c:ptCount val="17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  <c:pt idx="14">
                  <c:v>45749</c:v>
                </c:pt>
                <c:pt idx="15">
                  <c:v>45779</c:v>
                </c:pt>
                <c:pt idx="16">
                  <c:v>45810</c:v>
                </c:pt>
              </c:numCache>
            </c:numRef>
          </c:cat>
          <c:val>
            <c:numRef>
              <c:f>Sheet3!$D$2:$D$18</c:f>
              <c:numCache>
                <c:formatCode>General</c:formatCode>
                <c:ptCount val="17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39126.292620501423</c:v>
                </c:pt>
                <c:pt idx="14" formatCode="_(* #,##0.00_);_(* \(#,##0.00\);_(* &quot;-&quot;??_);_(@_)">
                  <c:v>42197.046662432891</c:v>
                </c:pt>
                <c:pt idx="15" formatCode="_(* #,##0.00_);_(* \(#,##0.00\);_(* &quot;-&quot;??_);_(@_)">
                  <c:v>45285.911718573581</c:v>
                </c:pt>
                <c:pt idx="16" formatCode="_(* #,##0.00_);_(* \(#,##0.00\);_(* &quot;-&quot;??_);_(@_)">
                  <c:v>48391.351635776919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9E-4EFB-974F-4C3D8E3F84F7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Upper Confidence Bound( Average Views 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Sheet3!$A$2:$A$18</c:f>
              <c:numCache>
                <c:formatCode>m/d/yyyy</c:formatCode>
                <c:ptCount val="17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  <c:pt idx="14">
                  <c:v>45749</c:v>
                </c:pt>
                <c:pt idx="15">
                  <c:v>45779</c:v>
                </c:pt>
                <c:pt idx="16">
                  <c:v>45810</c:v>
                </c:pt>
              </c:numCache>
            </c:numRef>
          </c:cat>
          <c:val>
            <c:numRef>
              <c:f>Sheet3!$E$2:$E$18</c:f>
              <c:numCache>
                <c:formatCode>General</c:formatCode>
                <c:ptCount val="17"/>
                <c:pt idx="12" formatCode="_(* #,##0.00_);_(* \(#,##0.00\);_(* &quot;-&quot;??_);_(@_)">
                  <c:v>34234</c:v>
                </c:pt>
                <c:pt idx="13" formatCode="_(* #,##0.00_);_(* \(#,##0.00\);_(* &quot;-&quot;??_);_(@_)">
                  <c:v>93237.604415373586</c:v>
                </c:pt>
                <c:pt idx="14" formatCode="_(* #,##0.00_);_(* \(#,##0.00\);_(* &quot;-&quot;??_);_(@_)">
                  <c:v>97986.858799041947</c:v>
                </c:pt>
                <c:pt idx="15" formatCode="_(* #,##0.00_);_(* \(#,##0.00\);_(* &quot;-&quot;??_);_(@_)">
                  <c:v>102718.00216850122</c:v>
                </c:pt>
                <c:pt idx="16" formatCode="_(* #,##0.00_);_(* \(#,##0.00\);_(* &quot;-&quot;??_);_(@_)">
                  <c:v>107432.57067689771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9E-4EFB-974F-4C3D8E3F8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82880"/>
        <c:axId val="200383840"/>
      </c:lineChart>
      <c:catAx>
        <c:axId val="20038288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83840"/>
        <c:crosses val="autoZero"/>
        <c:auto val="1"/>
        <c:lblAlgn val="ctr"/>
        <c:lblOffset val="100"/>
        <c:noMultiLvlLbl val="0"/>
      </c:catAx>
      <c:valAx>
        <c:axId val="20038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Forecast!$B$19</c:f>
              <c:strCache>
                <c:ptCount val="1"/>
                <c:pt idx="0">
                  <c:v> Average Views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Forecast!$A$20:$A$38</c:f>
              <c:numCache>
                <c:formatCode>m/d/yyyy</c:formatCode>
                <c:ptCount val="19"/>
                <c:pt idx="0">
                  <c:v>45324</c:v>
                </c:pt>
                <c:pt idx="1">
                  <c:v>45353</c:v>
                </c:pt>
                <c:pt idx="2">
                  <c:v>45384</c:v>
                </c:pt>
                <c:pt idx="3">
                  <c:v>45414</c:v>
                </c:pt>
                <c:pt idx="4">
                  <c:v>45445</c:v>
                </c:pt>
                <c:pt idx="5">
                  <c:v>45475</c:v>
                </c:pt>
                <c:pt idx="6">
                  <c:v>45506</c:v>
                </c:pt>
                <c:pt idx="7">
                  <c:v>45537</c:v>
                </c:pt>
                <c:pt idx="8">
                  <c:v>45567</c:v>
                </c:pt>
                <c:pt idx="9">
                  <c:v>45598</c:v>
                </c:pt>
                <c:pt idx="10">
                  <c:v>45628</c:v>
                </c:pt>
                <c:pt idx="11">
                  <c:v>45659</c:v>
                </c:pt>
                <c:pt idx="12">
                  <c:v>45690</c:v>
                </c:pt>
                <c:pt idx="13">
                  <c:v>45718</c:v>
                </c:pt>
                <c:pt idx="14">
                  <c:v>45749</c:v>
                </c:pt>
                <c:pt idx="15">
                  <c:v>45779</c:v>
                </c:pt>
                <c:pt idx="16">
                  <c:v>45810</c:v>
                </c:pt>
                <c:pt idx="17">
                  <c:v>45840</c:v>
                </c:pt>
                <c:pt idx="18">
                  <c:v>45871</c:v>
                </c:pt>
              </c:numCache>
            </c:numRef>
          </c:cat>
          <c:val>
            <c:numRef>
              <c:f>Forecast!$B$20:$B$38</c:f>
              <c:numCache>
                <c:formatCode>_(* #,##0.00_);_(* \(#,##0.00\);_(* "-"??_);_(@_)</c:formatCode>
                <c:ptCount val="19"/>
                <c:pt idx="0">
                  <c:v>10020</c:v>
                </c:pt>
                <c:pt idx="1">
                  <c:v>22001</c:v>
                </c:pt>
                <c:pt idx="2">
                  <c:v>30023</c:v>
                </c:pt>
                <c:pt idx="3">
                  <c:v>32001</c:v>
                </c:pt>
                <c:pt idx="4">
                  <c:v>35423</c:v>
                </c:pt>
                <c:pt idx="5">
                  <c:v>34534</c:v>
                </c:pt>
                <c:pt idx="6">
                  <c:v>23234</c:v>
                </c:pt>
                <c:pt idx="7">
                  <c:v>56788</c:v>
                </c:pt>
                <c:pt idx="8">
                  <c:v>56789</c:v>
                </c:pt>
                <c:pt idx="9">
                  <c:v>65789</c:v>
                </c:pt>
                <c:pt idx="10">
                  <c:v>67943</c:v>
                </c:pt>
                <c:pt idx="11">
                  <c:v>70898</c:v>
                </c:pt>
                <c:pt idx="12">
                  <c:v>34234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B-424F-8BEB-14325EFB1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73296"/>
        <c:axId val="198681936"/>
      </c:lineChart>
      <c:dateAx>
        <c:axId val="1986732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1936"/>
        <c:crosses val="autoZero"/>
        <c:auto val="1"/>
        <c:lblOffset val="100"/>
        <c:baseTimeUnit val="months"/>
      </c:dateAx>
      <c:valAx>
        <c:axId val="1986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</a:t>
          </a:r>
        </a:p>
      </cx:txPr>
    </cx:title>
    <cx:plotArea>
      <cx:plotAreaRegion>
        <cx:series layoutId="treemap" uniqueId="{5DB4FED8-5A32-4FB3-B15E-8AE5A0C5421D}">
          <cx:tx>
            <cx:txData>
              <cx:f>_xlchart.v1.1</cx:f>
              <cx:v>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Profit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Profit</a:t>
          </a:r>
        </a:p>
      </cx:txPr>
    </cx:title>
    <cx:plotArea>
      <cx:plotAreaRegion>
        <cx:series layoutId="treemap" uniqueId="{D3117E94-FD3D-46C7-9646-7C9A91117CA6}">
          <cx:tx>
            <cx:txData>
              <cx:f>_xlchart.v1.4</cx:f>
              <cx:v>Profit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0</xdr:row>
      <xdr:rowOff>171450</xdr:rowOff>
    </xdr:from>
    <xdr:to>
      <xdr:col>11</xdr:col>
      <xdr:colOff>472440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CF5AA-FB61-A2D6-21B4-A3EE54EF5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</xdr:row>
      <xdr:rowOff>175260</xdr:rowOff>
    </xdr:from>
    <xdr:to>
      <xdr:col>11</xdr:col>
      <xdr:colOff>228600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164049-7A2C-28E9-AEE4-5F1DBA148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1</xdr:row>
      <xdr:rowOff>45720</xdr:rowOff>
    </xdr:from>
    <xdr:to>
      <xdr:col>12</xdr:col>
      <xdr:colOff>68580</xdr:colOff>
      <xdr:row>16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80FB8E-50ED-7001-45A5-BF6B4E71A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3</xdr:row>
      <xdr:rowOff>156210</xdr:rowOff>
    </xdr:from>
    <xdr:to>
      <xdr:col>12</xdr:col>
      <xdr:colOff>76200</xdr:colOff>
      <xdr:row>18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770DE5-E22F-B6E6-9EFB-7D460F768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40106</xdr:colOff>
      <xdr:row>21</xdr:row>
      <xdr:rowOff>32084</xdr:rowOff>
    </xdr:from>
    <xdr:to>
      <xdr:col>3</xdr:col>
      <xdr:colOff>1544053</xdr:colOff>
      <xdr:row>36</xdr:row>
      <xdr:rowOff>58152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13F0A344-BE67-D69E-4616-F5060F9F41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106" y="4047824"/>
              <a:ext cx="4574807" cy="2776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1554079</xdr:colOff>
      <xdr:row>21</xdr:row>
      <xdr:rowOff>2006</xdr:rowOff>
    </xdr:from>
    <xdr:to>
      <xdr:col>7</xdr:col>
      <xdr:colOff>1213185</xdr:colOff>
      <xdr:row>36</xdr:row>
      <xdr:rowOff>28074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CD5D07C-5474-023E-689E-62651F4D13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24939" y="4017746"/>
              <a:ext cx="4566386" cy="2776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1233237</xdr:colOff>
      <xdr:row>24</xdr:row>
      <xdr:rowOff>62163</xdr:rowOff>
    </xdr:from>
    <xdr:to>
      <xdr:col>14</xdr:col>
      <xdr:colOff>581526</xdr:colOff>
      <xdr:row>39</xdr:row>
      <xdr:rowOff>88231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33F3D0F-60D6-B0FC-81E1-94C6C7CEB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1447800</xdr:colOff>
      <xdr:row>6</xdr:row>
      <xdr:rowOff>41910</xdr:rowOff>
    </xdr:from>
    <xdr:to>
      <xdr:col>8</xdr:col>
      <xdr:colOff>337185</xdr:colOff>
      <xdr:row>26</xdr:row>
      <xdr:rowOff>51435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ED9EB9-DC78-40F6-BB0D-5CD9F99C8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1325880</xdr:colOff>
      <xdr:row>6</xdr:row>
      <xdr:rowOff>41910</xdr:rowOff>
    </xdr:from>
    <xdr:to>
      <xdr:col>11</xdr:col>
      <xdr:colOff>55245</xdr:colOff>
      <xdr:row>26</xdr:row>
      <xdr:rowOff>51435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8EB68-0C91-9954-C28E-A5A9A8591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3</xdr:row>
      <xdr:rowOff>91440</xdr:rowOff>
    </xdr:from>
    <xdr:to>
      <xdr:col>12</xdr:col>
      <xdr:colOff>236220</xdr:colOff>
      <xdr:row>19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670987-057D-4F6D-AC84-93FEE9705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548640</xdr:colOff>
      <xdr:row>3</xdr:row>
      <xdr:rowOff>72390</xdr:rowOff>
    </xdr:from>
    <xdr:to>
      <xdr:col>22</xdr:col>
      <xdr:colOff>15240</xdr:colOff>
      <xdr:row>18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C034F8-6CC9-9023-4326-87342FCB6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533401</xdr:colOff>
      <xdr:row>22</xdr:row>
      <xdr:rowOff>144780</xdr:rowOff>
    </xdr:from>
    <xdr:to>
      <xdr:col>12</xdr:col>
      <xdr:colOff>358141</xdr:colOff>
      <xdr:row>42</xdr:row>
      <xdr:rowOff>154305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B52A851-ED00-4445-B700-6A0CAA7AA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53340</xdr:colOff>
      <xdr:row>22</xdr:row>
      <xdr:rowOff>140970</xdr:rowOff>
    </xdr:from>
    <xdr:to>
      <xdr:col>21</xdr:col>
      <xdr:colOff>571500</xdr:colOff>
      <xdr:row>37</xdr:row>
      <xdr:rowOff>140970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502992-318D-21D3-D75B-6655C0183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 Gudekar" refreshedDate="45878.617198032407" createdVersion="8" refreshedVersion="8" minRefreshableVersion="3" recordCount="23" xr:uid="{F145EF79-C21D-4EB5-9458-5E90EC04A042}">
  <cacheSource type="worksheet">
    <worksheetSource name="Table2"/>
  </cacheSource>
  <cacheFields count="13">
    <cacheField name="Row ID" numFmtId="0">
      <sharedItems containsSemiMixedTypes="0" containsString="0" containsNumber="1" containsInteger="1" minValue="1" maxValue="23"/>
    </cacheField>
    <cacheField name="Ship Date" numFmtId="14">
      <sharedItems containsSemiMixedTypes="0" containsNonDate="0" containsDate="1" containsString="0" minDate="2014-05-15T00:00:00" maxDate="2017-04-21T00:00:00" count="11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</sharedItems>
      <fieldGroup par="12"/>
    </cacheField>
    <cacheField name="Customer ID" numFmtId="0">
      <sharedItems/>
    </cacheField>
    <cacheField name="Customer Name" numFmtId="0">
      <sharedItems count="11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</sharedItems>
    </cacheField>
    <cacheField name="Postal Code" numFmtId="0">
      <sharedItems containsSemiMixedTypes="0" containsString="0" containsNumber="1" containsInteger="1" minValue="28027" maxValue="98103"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1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</sharedItems>
    </cacheField>
    <cacheField name="Sales" numFmtId="0">
      <sharedItems containsSemiMixedTypes="0" containsString="0" containsNumber="1" minValue="2.5439999999999996" maxValue="1706.1840000000002"/>
    </cacheField>
    <cacheField name="QTY" numFmtId="0">
      <sharedItems containsSemiMixedTypes="0" containsString="0" containsNumber="1" containsInteger="1" minValue="2" maxValue="9"/>
    </cacheField>
    <cacheField name="Profit" numFmtId="2">
      <sharedItems containsSemiMixedTypes="0" containsString="0" containsNumber="1" minValue="-383.03100000000006" maxValue="219.58199999999997"/>
    </cacheField>
    <cacheField name="Months (Ship Date)" numFmtId="0" databaseField="0">
      <fieldGroup base="1">
        <rangePr groupBy="months" startDate="2014-05-15T00:00:00" endDate="2017-04-21T00:00:00"/>
        <groupItems count="14">
          <s v="&lt;15-05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04-2017"/>
        </groupItems>
      </fieldGroup>
    </cacheField>
    <cacheField name="Years (Ship Date)" numFmtId="0" databaseField="0">
      <fieldGroup base="1">
        <rangePr groupBy="years" startDate="2014-05-15T00:00:00" endDate="2017-04-21T00:00:00"/>
        <groupItems count="6">
          <s v="&lt;15-05-2014"/>
          <s v="2014"/>
          <s v="2015"/>
          <s v="2016"/>
          <s v="2017"/>
          <s v="&gt;21-04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"/>
    <x v="0"/>
    <s v="CG-12520"/>
    <x v="0"/>
    <n v="42420"/>
    <s v="FUR-BO-10001798"/>
    <x v="0"/>
    <x v="0"/>
    <n v="261.95999999999998"/>
    <n v="2"/>
    <n v="41.913600000000002"/>
  </r>
  <r>
    <n v="2"/>
    <x v="0"/>
    <s v="CG-12520"/>
    <x v="0"/>
    <n v="42420"/>
    <s v="FUR-CH-10000454"/>
    <x v="0"/>
    <x v="1"/>
    <n v="731.93999999999994"/>
    <n v="3"/>
    <n v="219.58199999999997"/>
  </r>
  <r>
    <n v="3"/>
    <x v="1"/>
    <s v="DV-13045"/>
    <x v="1"/>
    <n v="90036"/>
    <s v="OFF-LA-10000240"/>
    <x v="1"/>
    <x v="2"/>
    <n v="14.62"/>
    <n v="2"/>
    <n v="6.8713999999999995"/>
  </r>
  <r>
    <n v="4"/>
    <x v="2"/>
    <s v="SO-20335"/>
    <x v="2"/>
    <n v="33311"/>
    <s v="FUR-TA-10000577"/>
    <x v="0"/>
    <x v="3"/>
    <n v="957.57749999999999"/>
    <n v="5"/>
    <n v="-383.03100000000006"/>
  </r>
  <r>
    <n v="5"/>
    <x v="2"/>
    <s v="SO-20335"/>
    <x v="2"/>
    <n v="33311"/>
    <s v="OFF-ST-10000760"/>
    <x v="1"/>
    <x v="4"/>
    <n v="22.368000000000002"/>
    <n v="2"/>
    <n v="2.5163999999999991"/>
  </r>
  <r>
    <n v="6"/>
    <x v="3"/>
    <s v="BH-11710"/>
    <x v="3"/>
    <n v="90032"/>
    <s v="FUR-FU-10001487"/>
    <x v="0"/>
    <x v="5"/>
    <n v="48.86"/>
    <n v="7"/>
    <n v="14.169399999999996"/>
  </r>
  <r>
    <n v="7"/>
    <x v="3"/>
    <s v="BH-11710"/>
    <x v="3"/>
    <n v="90032"/>
    <s v="OFF-AR-10002833"/>
    <x v="1"/>
    <x v="6"/>
    <n v="7.28"/>
    <n v="4"/>
    <n v="1.9656000000000002"/>
  </r>
  <r>
    <n v="8"/>
    <x v="3"/>
    <s v="BH-11710"/>
    <x v="3"/>
    <n v="90032"/>
    <s v="TEC-PH-10002275"/>
    <x v="2"/>
    <x v="7"/>
    <n v="907.15200000000004"/>
    <n v="6"/>
    <n v="90.715200000000038"/>
  </r>
  <r>
    <n v="9"/>
    <x v="3"/>
    <s v="BH-11710"/>
    <x v="3"/>
    <n v="90032"/>
    <s v="OFF-BI-10003910"/>
    <x v="1"/>
    <x v="8"/>
    <n v="18.504000000000001"/>
    <n v="3"/>
    <n v="5.7824999999999998"/>
  </r>
  <r>
    <n v="10"/>
    <x v="3"/>
    <s v="BH-11710"/>
    <x v="3"/>
    <n v="90032"/>
    <s v="OFF-AP-10002892"/>
    <x v="1"/>
    <x v="9"/>
    <n v="114.9"/>
    <n v="5"/>
    <n v="34.469999999999992"/>
  </r>
  <r>
    <n v="11"/>
    <x v="3"/>
    <s v="BH-11710"/>
    <x v="3"/>
    <n v="90032"/>
    <s v="FUR-TA-10001539"/>
    <x v="0"/>
    <x v="3"/>
    <n v="1706.1840000000002"/>
    <n v="9"/>
    <n v="85.309199999999805"/>
  </r>
  <r>
    <n v="12"/>
    <x v="3"/>
    <s v="BH-11710"/>
    <x v="3"/>
    <n v="90032"/>
    <s v="TEC-PH-10002033"/>
    <x v="2"/>
    <x v="7"/>
    <n v="911.42399999999998"/>
    <n v="4"/>
    <n v="68.356800000000021"/>
  </r>
  <r>
    <n v="13"/>
    <x v="4"/>
    <s v="AA-10480"/>
    <x v="4"/>
    <n v="28027"/>
    <s v="OFF-PA-10002365"/>
    <x v="1"/>
    <x v="10"/>
    <n v="15.552000000000003"/>
    <n v="3"/>
    <n v="5.4432"/>
  </r>
  <r>
    <n v="14"/>
    <x v="5"/>
    <s v="IM-15070"/>
    <x v="5"/>
    <n v="98103"/>
    <s v="OFF-BI-10003656"/>
    <x v="1"/>
    <x v="8"/>
    <n v="407.97600000000006"/>
    <n v="3"/>
    <n v="132.59219999999993"/>
  </r>
  <r>
    <n v="15"/>
    <x v="6"/>
    <s v="HP-14815"/>
    <x v="6"/>
    <n v="76106"/>
    <s v="OFF-AP-10002311"/>
    <x v="1"/>
    <x v="9"/>
    <n v="68.809999999999988"/>
    <n v="5"/>
    <n v="-123.858"/>
  </r>
  <r>
    <n v="16"/>
    <x v="6"/>
    <s v="HP-14815"/>
    <x v="6"/>
    <n v="76106"/>
    <s v="OFF-BI-10000756"/>
    <x v="1"/>
    <x v="8"/>
    <n v="2.5439999999999996"/>
    <n v="3"/>
    <n v="-3.8160000000000016"/>
  </r>
  <r>
    <n v="17"/>
    <x v="7"/>
    <s v="PK-19075"/>
    <x v="7"/>
    <n v="53711"/>
    <s v="OFF-ST-10004186"/>
    <x v="1"/>
    <x v="4"/>
    <n v="665.88"/>
    <n v="6"/>
    <n v="13.317599999999999"/>
  </r>
  <r>
    <n v="18"/>
    <x v="8"/>
    <s v="AG-10270"/>
    <x v="8"/>
    <n v="84084"/>
    <s v="OFF-ST-10000107"/>
    <x v="1"/>
    <x v="4"/>
    <n v="55.5"/>
    <n v="2"/>
    <n v="9.9899999999999949"/>
  </r>
  <r>
    <n v="19"/>
    <x v="9"/>
    <s v="ZD-21925"/>
    <x v="9"/>
    <n v="94109"/>
    <s v="OFF-AR-10003056"/>
    <x v="1"/>
    <x v="6"/>
    <n v="8.56"/>
    <n v="2"/>
    <n v="2.4823999999999993"/>
  </r>
  <r>
    <n v="20"/>
    <x v="9"/>
    <s v="ZD-21925"/>
    <x v="9"/>
    <n v="94109"/>
    <s v="TEC-PH-10001949"/>
    <x v="2"/>
    <x v="7"/>
    <n v="213.48000000000002"/>
    <n v="3"/>
    <n v="16.010999999999981"/>
  </r>
  <r>
    <n v="21"/>
    <x v="9"/>
    <s v="ZD-21925"/>
    <x v="9"/>
    <n v="94109"/>
    <s v="OFF-BI-10002215"/>
    <x v="1"/>
    <x v="8"/>
    <n v="22.72"/>
    <n v="4"/>
    <n v="7.3839999999999986"/>
  </r>
  <r>
    <n v="22"/>
    <x v="10"/>
    <s v="KB-16585"/>
    <x v="10"/>
    <n v="68025"/>
    <s v="OFF-AR-10000246"/>
    <x v="1"/>
    <x v="6"/>
    <n v="19.459999999999997"/>
    <n v="7"/>
    <n v="5.0595999999999997"/>
  </r>
  <r>
    <n v="23"/>
    <x v="10"/>
    <s v="KB-16585"/>
    <x v="10"/>
    <n v="68025"/>
    <s v="OFF-AP-10001492"/>
    <x v="1"/>
    <x v="9"/>
    <n v="60.339999999999996"/>
    <n v="7"/>
    <n v="15.6884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87542-B8AD-43B9-8D5E-0BBAB2719A9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3">
    <pivotField showAll="0"/>
    <pivotField numFmtId="14" showAll="0">
      <items count="12">
        <item x="8"/>
        <item x="3"/>
        <item x="9"/>
        <item x="7"/>
        <item x="2"/>
        <item x="6"/>
        <item x="1"/>
        <item x="0"/>
        <item x="5"/>
        <item x="10"/>
        <item x="4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0" showDataAs="percentOfTotal" baseField="0" baseItem="0" numFmtId="10"/>
  </dataFields>
  <chartFormats count="4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F970D-D0DE-4548-AA02-564E222E02C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8" firstHeaderRow="1" firstDataRow="1" firstDataCol="1"/>
  <pivotFields count="13">
    <pivotField showAll="0"/>
    <pivotField numFmtId="14" showAll="0">
      <items count="12">
        <item x="8"/>
        <item x="3"/>
        <item x="9"/>
        <item x="7"/>
        <item x="2"/>
        <item x="6"/>
        <item x="1"/>
        <item x="0"/>
        <item x="5"/>
        <item x="1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2"/>
    <field x="11"/>
  </rowFields>
  <rowItems count="15">
    <i>
      <x v="1"/>
    </i>
    <i r="1">
      <x v="5"/>
    </i>
    <i r="1">
      <x v="6"/>
    </i>
    <i r="1">
      <x v="9"/>
    </i>
    <i r="1">
      <x v="11"/>
    </i>
    <i>
      <x v="2"/>
    </i>
    <i r="1">
      <x v="10"/>
    </i>
    <i r="1">
      <x v="11"/>
    </i>
    <i>
      <x v="3"/>
    </i>
    <i r="1">
      <x v="6"/>
    </i>
    <i r="1">
      <x v="11"/>
    </i>
    <i r="1">
      <x v="12"/>
    </i>
    <i>
      <x v="4"/>
    </i>
    <i r="1">
      <x v="4"/>
    </i>
    <i t="grand">
      <x/>
    </i>
  </rowItems>
  <colItems count="1">
    <i/>
  </colItems>
  <dataFields count="1">
    <dataField name="Sum of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69731-D811-46D8-8CDC-344DC4D1A31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15" firstHeaderRow="0" firstDataRow="1" firstDataCol="1"/>
  <pivotFields count="13">
    <pivotField showAll="0"/>
    <pivotField numFmtId="14" showAll="0">
      <items count="12">
        <item x="8"/>
        <item x="3"/>
        <item x="9"/>
        <item x="7"/>
        <item x="2"/>
        <item x="6"/>
        <item x="1"/>
        <item x="0"/>
        <item x="5"/>
        <item x="10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9"/>
        <item x="6"/>
        <item x="8"/>
        <item x="0"/>
        <item x="1"/>
        <item x="5"/>
        <item x="2"/>
        <item x="10"/>
        <item x="7"/>
        <item x="4"/>
        <item x="3"/>
        <item t="default"/>
      </items>
    </pivotField>
    <pivotField dataField="1" showAll="0"/>
    <pivotField showAll="0"/>
    <pivotField dataField="1" numFmtId="2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/>
    <dataField name="Sum of Profit" fld="10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93BAC-AC22-49F7-A5EC-DAFB0F5E1AA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5" firstHeaderRow="1" firstDataRow="1" firstDataCol="1"/>
  <pivotFields count="13">
    <pivotField showAll="0"/>
    <pivotField numFmtId="14" showAll="0">
      <items count="12">
        <item x="8"/>
        <item x="3"/>
        <item x="9"/>
        <item x="7"/>
        <item x="2"/>
        <item x="6"/>
        <item x="1"/>
        <item x="0"/>
        <item x="5"/>
        <item x="10"/>
        <item x="4"/>
        <item t="default"/>
      </items>
    </pivotField>
    <pivotField showAll="0"/>
    <pivotField axis="axisRow" showAll="0" sortType="descending">
      <items count="12">
        <item x="9"/>
        <item x="2"/>
        <item x="7"/>
        <item x="10"/>
        <item x="5"/>
        <item x="6"/>
        <item x="1"/>
        <item x="0"/>
        <item x="3"/>
        <item x="4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2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QTY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9D82E3-6840-4645-9C7E-F2A58713D5B9}" name="Table2" displayName="Table2" ref="A2:L25" totalsRowShown="0" headerRowDxfId="11" headerRowBorderDxfId="10" tableBorderDxfId="9">
  <autoFilter ref="A2:L25" xr:uid="{8F9D82E3-6840-4645-9C7E-F2A58713D5B9}"/>
  <tableColumns count="12">
    <tableColumn id="1" xr3:uid="{0E2C0866-F2AE-4A0A-A96C-7EE3067DB17D}" name="Row ID" dataDxfId="8"/>
    <tableColumn id="2" xr3:uid="{51900FFE-7C92-4589-AD85-D0AB02E9E1D1}" name="Ship Date" dataDxfId="7"/>
    <tableColumn id="3" xr3:uid="{9DBA46E6-8120-489F-8E5A-1B1C1971D65E}" name="Customer ID"/>
    <tableColumn id="4" xr3:uid="{4E5CCC4F-DD68-4C06-87B0-AC212B2A1BF4}" name="Customer Name"/>
    <tableColumn id="5" xr3:uid="{8547DF24-8AF7-4996-9579-8CA3B5D2AB24}" name="Postal Code"/>
    <tableColumn id="6" xr3:uid="{CD0C0CB5-84DA-4B84-9A68-EEC8EBCA91CE}" name="Product ID"/>
    <tableColumn id="7" xr3:uid="{5B4EA18B-66DD-4EF9-8AAD-38F7BF21AA11}" name="Category"/>
    <tableColumn id="8" xr3:uid="{8E7FCAB7-3E8D-4419-B5C0-36D93BA68BAF}" name="Sub-Category"/>
    <tableColumn id="9" xr3:uid="{039EEB47-2DFB-48F9-8174-A78A98484F7F}" name="Sales"/>
    <tableColumn id="10" xr3:uid="{F67379A3-3854-4ED2-A634-1132265222D0}" name="QTY"/>
    <tableColumn id="11" xr3:uid="{C14813F4-6F02-4D5E-AAE6-1185D502E95F}" name="Profit" dataDxfId="6"/>
    <tableColumn id="12" xr3:uid="{110DEF86-9C1C-4BCC-8C4A-8012432C0A95}" name="Spar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473B19-436B-4372-B38E-68408AF359EC}" name="Table3" displayName="Table3" ref="A1:E15" totalsRowShown="0">
  <autoFilter ref="A1:E15" xr:uid="{28473B19-436B-4372-B38E-68408AF359EC}"/>
  <tableColumns count="5">
    <tableColumn id="1" xr3:uid="{DCDF9CAD-E707-4F75-9908-463E8709BD16}" name="Dates " dataDxfId="5"/>
    <tableColumn id="2" xr3:uid="{7A6875BC-AE7A-4F55-B36E-7886C56B390B}" name=" Average Views " dataDxfId="4"/>
    <tableColumn id="3" xr3:uid="{E09E318D-6325-41A4-85DE-CD93990701EE}" name="Forecast( Average Views )"/>
    <tableColumn id="4" xr3:uid="{91A6F79B-CEE4-41A9-A8D1-B5FE4671A505}" name="Lower Confidence Bound( Average Views )"/>
    <tableColumn id="5" xr3:uid="{8FA18C87-7C3A-44A2-8DFC-295A1293417A}" name="Upper Confidence Bound( Average Views 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A323AF-E998-4665-93B1-9343E475E3EC}" name="Table4" displayName="Table4" ref="A1:E18" totalsRowShown="0">
  <autoFilter ref="A1:E18" xr:uid="{60A323AF-E998-4665-93B1-9343E475E3EC}"/>
  <tableColumns count="5">
    <tableColumn id="1" xr3:uid="{01442826-3B05-42C5-9310-D009C9F6CBB8}" name="Dates " dataDxfId="3"/>
    <tableColumn id="2" xr3:uid="{0E75B6B3-E8E7-453B-B6C8-7095E037AFA0}" name=" Average Views "/>
    <tableColumn id="3" xr3:uid="{FCF0301E-A618-4A48-BA62-FD2C22413F62}" name="Forecast( Average Views )" dataDxfId="2">
      <calculatedColumnFormula>_xlfn.FORECAST.ETS(A2,$B$2:$B$14,$A$2:$A$14,1,1)</calculatedColumnFormula>
    </tableColumn>
    <tableColumn id="4" xr3:uid="{D65EE81E-4845-426F-88EF-E775EA5EA8E1}" name="Lower Confidence Bound( Average Views )" dataDxfId="1">
      <calculatedColumnFormula>C2-_xlfn.FORECAST.ETS.CONFINT(A2,$B$2:$B$14,$A$2:$A$14,0.95,1,1)</calculatedColumnFormula>
    </tableColumn>
    <tableColumn id="5" xr3:uid="{670816AE-F305-47CA-A92F-7461F94A4EBD}" name="Upper Confidence Bound( Average Views )" dataDxfId="0">
      <calculatedColumnFormula>C2+_xlfn.FORECAST.ETS.CONFINT(A2,$B$2:$B$14,$A$2:$A$14,0.95,1,1)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31AE-756D-45D0-96CD-4761517C5291}">
  <dimension ref="A1:O25"/>
  <sheetViews>
    <sheetView zoomScale="78" zoomScaleNormal="78" workbookViewId="0">
      <selection activeCell="N20" sqref="N20"/>
    </sheetView>
  </sheetViews>
  <sheetFormatPr defaultRowHeight="14.4" x14ac:dyDescent="0.3"/>
  <cols>
    <col min="1" max="1" width="7.5546875" bestFit="1" customWidth="1"/>
    <col min="2" max="2" width="10.44140625" bestFit="1" customWidth="1"/>
    <col min="3" max="3" width="12.44140625" bestFit="1" customWidth="1"/>
    <col min="4" max="4" width="21.33203125" bestFit="1" customWidth="1"/>
    <col min="5" max="5" width="15.6640625" bestFit="1" customWidth="1"/>
    <col min="6" max="6" width="16.5546875" bestFit="1" customWidth="1"/>
    <col min="7" max="7" width="14.5546875" bestFit="1" customWidth="1"/>
    <col min="8" max="8" width="17.88671875" bestFit="1" customWidth="1"/>
    <col min="9" max="9" width="10.33203125" bestFit="1" customWidth="1"/>
    <col min="10" max="10" width="12" bestFit="1" customWidth="1"/>
    <col min="11" max="11" width="9.5546875" bestFit="1" customWidth="1"/>
  </cols>
  <sheetData>
    <row r="1" spans="1:15" ht="15" thickBot="1" x14ac:dyDescent="0.35"/>
    <row r="2" spans="1:15" ht="21.6" thickBot="1" x14ac:dyDescent="0.45">
      <c r="A2" s="46" t="s">
        <v>0</v>
      </c>
      <c r="B2" s="2" t="s">
        <v>1</v>
      </c>
      <c r="C2" s="2" t="s">
        <v>2</v>
      </c>
      <c r="D2" s="55" t="s">
        <v>3</v>
      </c>
      <c r="E2" s="40" t="s">
        <v>4</v>
      </c>
      <c r="F2" s="40" t="s">
        <v>5</v>
      </c>
      <c r="G2" s="55" t="s">
        <v>6</v>
      </c>
      <c r="H2" s="55" t="s">
        <v>7</v>
      </c>
      <c r="I2" s="49" t="s">
        <v>8</v>
      </c>
      <c r="J2" s="40" t="s">
        <v>9</v>
      </c>
      <c r="K2" s="52" t="s">
        <v>10</v>
      </c>
    </row>
    <row r="3" spans="1:15" x14ac:dyDescent="0.3">
      <c r="A3" s="47">
        <v>1</v>
      </c>
      <c r="B3" s="1">
        <v>42685</v>
      </c>
      <c r="C3" t="s">
        <v>11</v>
      </c>
      <c r="D3" s="56" t="s">
        <v>12</v>
      </c>
      <c r="E3">
        <v>42420</v>
      </c>
      <c r="F3" t="s">
        <v>13</v>
      </c>
      <c r="G3" s="56" t="s">
        <v>14</v>
      </c>
      <c r="H3" s="56" t="s">
        <v>15</v>
      </c>
      <c r="I3" s="50">
        <v>261.95999999999998</v>
      </c>
      <c r="J3">
        <v>2</v>
      </c>
      <c r="K3" s="53">
        <v>41.913600000000002</v>
      </c>
      <c r="M3" s="64" t="str">
        <f>PROPER("Use the data-Validation.")</f>
        <v>Use The Data-Validation.</v>
      </c>
      <c r="N3" s="64"/>
      <c r="O3" s="64"/>
    </row>
    <row r="4" spans="1:15" x14ac:dyDescent="0.3">
      <c r="A4" s="47">
        <v>2</v>
      </c>
      <c r="B4" s="1">
        <v>42685</v>
      </c>
      <c r="C4" t="s">
        <v>11</v>
      </c>
      <c r="D4" s="56" t="s">
        <v>12</v>
      </c>
      <c r="E4">
        <v>42420</v>
      </c>
      <c r="F4" t="s">
        <v>16</v>
      </c>
      <c r="G4" s="56" t="s">
        <v>14</v>
      </c>
      <c r="H4" s="56" t="s">
        <v>17</v>
      </c>
      <c r="I4" s="50">
        <v>731.93999999999994</v>
      </c>
      <c r="J4">
        <v>3</v>
      </c>
      <c r="K4" s="53">
        <v>219.58199999999997</v>
      </c>
      <c r="N4" t="str">
        <f>PROPER("Convert the Row_ID and Sales to NUMBER then decrease value after Decimal.")</f>
        <v>Convert The Row_Id And Sales To Number Then Decrease Value After Decimal.</v>
      </c>
    </row>
    <row r="5" spans="1:15" x14ac:dyDescent="0.3">
      <c r="A5" s="47">
        <v>3</v>
      </c>
      <c r="B5" s="1">
        <v>42537</v>
      </c>
      <c r="C5" t="s">
        <v>18</v>
      </c>
      <c r="D5" s="56" t="s">
        <v>19</v>
      </c>
      <c r="E5">
        <v>90036</v>
      </c>
      <c r="F5" t="s">
        <v>20</v>
      </c>
      <c r="G5" s="56" t="s">
        <v>21</v>
      </c>
      <c r="H5" s="56" t="s">
        <v>22</v>
      </c>
      <c r="I5" s="50">
        <v>14.62</v>
      </c>
      <c r="J5">
        <v>2</v>
      </c>
      <c r="K5" s="53">
        <v>6.8713999999999995</v>
      </c>
      <c r="N5" t="s">
        <v>71</v>
      </c>
    </row>
    <row r="6" spans="1:15" x14ac:dyDescent="0.3">
      <c r="A6" s="47">
        <v>4</v>
      </c>
      <c r="B6" s="1">
        <v>42295</v>
      </c>
      <c r="C6" t="s">
        <v>23</v>
      </c>
      <c r="D6" s="56" t="s">
        <v>24</v>
      </c>
      <c r="E6">
        <v>33311</v>
      </c>
      <c r="F6" t="s">
        <v>25</v>
      </c>
      <c r="G6" s="56" t="s">
        <v>14</v>
      </c>
      <c r="H6" s="56" t="s">
        <v>26</v>
      </c>
      <c r="I6" s="50">
        <v>957.57749999999999</v>
      </c>
      <c r="J6">
        <v>5</v>
      </c>
      <c r="K6" s="53">
        <v>-383.03100000000006</v>
      </c>
    </row>
    <row r="7" spans="1:15" x14ac:dyDescent="0.3">
      <c r="A7" s="47">
        <v>5</v>
      </c>
      <c r="B7" s="1">
        <v>42295</v>
      </c>
      <c r="C7" t="s">
        <v>23</v>
      </c>
      <c r="D7" s="56" t="s">
        <v>24</v>
      </c>
      <c r="E7">
        <v>33311</v>
      </c>
      <c r="F7" t="s">
        <v>27</v>
      </c>
      <c r="G7" s="56" t="s">
        <v>21</v>
      </c>
      <c r="H7" s="56" t="s">
        <v>28</v>
      </c>
      <c r="I7" s="50">
        <v>22.368000000000002</v>
      </c>
      <c r="J7">
        <v>2</v>
      </c>
      <c r="K7" s="53">
        <v>2.5163999999999991</v>
      </c>
      <c r="N7" t="s">
        <v>72</v>
      </c>
    </row>
    <row r="8" spans="1:15" x14ac:dyDescent="0.3">
      <c r="A8" s="47">
        <v>6</v>
      </c>
      <c r="B8" s="1">
        <v>41804</v>
      </c>
      <c r="C8" t="s">
        <v>29</v>
      </c>
      <c r="D8" s="56" t="s">
        <v>30</v>
      </c>
      <c r="E8">
        <v>90032</v>
      </c>
      <c r="F8" t="s">
        <v>31</v>
      </c>
      <c r="G8" s="56" t="s">
        <v>14</v>
      </c>
      <c r="H8" s="56" t="s">
        <v>32</v>
      </c>
      <c r="I8" s="50">
        <v>48.86</v>
      </c>
      <c r="J8">
        <v>7</v>
      </c>
      <c r="K8" s="53">
        <v>35</v>
      </c>
      <c r="N8" t="s">
        <v>73</v>
      </c>
    </row>
    <row r="9" spans="1:15" x14ac:dyDescent="0.3">
      <c r="A9" s="47">
        <v>7</v>
      </c>
      <c r="B9" s="1">
        <v>41804</v>
      </c>
      <c r="C9" t="s">
        <v>29</v>
      </c>
      <c r="D9" s="56" t="s">
        <v>30</v>
      </c>
      <c r="E9">
        <v>90032</v>
      </c>
      <c r="F9" t="s">
        <v>33</v>
      </c>
      <c r="G9" s="56" t="s">
        <v>21</v>
      </c>
      <c r="H9" s="56" t="s">
        <v>34</v>
      </c>
      <c r="I9" s="50">
        <v>7.28</v>
      </c>
      <c r="J9">
        <v>4</v>
      </c>
      <c r="K9" s="53">
        <v>1.9656000000000002</v>
      </c>
    </row>
    <row r="10" spans="1:15" x14ac:dyDescent="0.3">
      <c r="A10" s="47">
        <v>8</v>
      </c>
      <c r="B10" s="1">
        <v>41804</v>
      </c>
      <c r="C10" t="s">
        <v>29</v>
      </c>
      <c r="D10" s="56" t="s">
        <v>30</v>
      </c>
      <c r="E10">
        <v>90032</v>
      </c>
      <c r="F10" t="s">
        <v>35</v>
      </c>
      <c r="G10" s="56" t="s">
        <v>36</v>
      </c>
      <c r="H10" s="56" t="s">
        <v>37</v>
      </c>
      <c r="I10" s="50">
        <v>907.15200000000004</v>
      </c>
      <c r="J10">
        <v>6</v>
      </c>
      <c r="K10" s="53">
        <v>90.715200000000038</v>
      </c>
      <c r="N10" t="s">
        <v>70</v>
      </c>
    </row>
    <row r="11" spans="1:15" x14ac:dyDescent="0.3">
      <c r="A11" s="47">
        <v>9</v>
      </c>
      <c r="B11" s="1">
        <v>41804</v>
      </c>
      <c r="C11" t="s">
        <v>29</v>
      </c>
      <c r="D11" s="56" t="s">
        <v>30</v>
      </c>
      <c r="E11">
        <v>90032</v>
      </c>
      <c r="F11" t="s">
        <v>38</v>
      </c>
      <c r="G11" s="56" t="s">
        <v>21</v>
      </c>
      <c r="H11" s="56" t="s">
        <v>39</v>
      </c>
      <c r="I11" s="50">
        <v>18.504000000000001</v>
      </c>
      <c r="J11">
        <v>3</v>
      </c>
      <c r="K11" s="53">
        <v>5.7824999999999998</v>
      </c>
      <c r="N11" t="s">
        <v>74</v>
      </c>
    </row>
    <row r="12" spans="1:15" x14ac:dyDescent="0.3">
      <c r="A12" s="47">
        <v>10</v>
      </c>
      <c r="B12" s="1">
        <v>41804</v>
      </c>
      <c r="C12" t="s">
        <v>29</v>
      </c>
      <c r="D12" s="56" t="s">
        <v>30</v>
      </c>
      <c r="E12">
        <v>90032</v>
      </c>
      <c r="F12" t="s">
        <v>40</v>
      </c>
      <c r="G12" s="56" t="s">
        <v>21</v>
      </c>
      <c r="H12" s="56" t="s">
        <v>41</v>
      </c>
      <c r="I12" s="50">
        <v>114.9</v>
      </c>
      <c r="J12">
        <v>5</v>
      </c>
      <c r="K12" s="53">
        <v>34.469999999999992</v>
      </c>
      <c r="N12" t="s">
        <v>76</v>
      </c>
    </row>
    <row r="13" spans="1:15" x14ac:dyDescent="0.3">
      <c r="A13" s="47">
        <v>11</v>
      </c>
      <c r="B13" s="1">
        <v>41804</v>
      </c>
      <c r="C13" t="s">
        <v>29</v>
      </c>
      <c r="D13" s="56" t="s">
        <v>30</v>
      </c>
      <c r="E13">
        <v>90032</v>
      </c>
      <c r="F13" t="s">
        <v>42</v>
      </c>
      <c r="G13" s="56" t="s">
        <v>14</v>
      </c>
      <c r="H13" s="56" t="s">
        <v>26</v>
      </c>
      <c r="I13" s="50">
        <v>1706.1840000000002</v>
      </c>
      <c r="J13">
        <v>9</v>
      </c>
      <c r="K13" s="53">
        <v>85.309199999999805</v>
      </c>
    </row>
    <row r="14" spans="1:15" x14ac:dyDescent="0.3">
      <c r="A14" s="47">
        <v>12</v>
      </c>
      <c r="B14" s="1">
        <v>41804</v>
      </c>
      <c r="C14" t="s">
        <v>29</v>
      </c>
      <c r="D14" s="56" t="s">
        <v>30</v>
      </c>
      <c r="E14">
        <v>90032</v>
      </c>
      <c r="F14" t="s">
        <v>43</v>
      </c>
      <c r="G14" s="56" t="s">
        <v>36</v>
      </c>
      <c r="H14" s="56" t="s">
        <v>37</v>
      </c>
      <c r="I14" s="50">
        <v>911.42399999999998</v>
      </c>
      <c r="J14">
        <v>4</v>
      </c>
      <c r="K14" s="53">
        <v>68.356800000000021</v>
      </c>
      <c r="N14" t="s">
        <v>78</v>
      </c>
    </row>
    <row r="15" spans="1:15" x14ac:dyDescent="0.3">
      <c r="A15" s="47">
        <v>13</v>
      </c>
      <c r="B15" s="1">
        <v>42845</v>
      </c>
      <c r="C15" t="s">
        <v>44</v>
      </c>
      <c r="D15" s="56" t="s">
        <v>45</v>
      </c>
      <c r="E15">
        <v>28027</v>
      </c>
      <c r="F15" t="s">
        <v>46</v>
      </c>
      <c r="G15" s="56" t="s">
        <v>21</v>
      </c>
      <c r="H15" s="56" t="s">
        <v>47</v>
      </c>
      <c r="I15" s="50">
        <v>15.552000000000003</v>
      </c>
      <c r="J15">
        <v>3</v>
      </c>
      <c r="K15" s="53">
        <v>5.4432</v>
      </c>
    </row>
    <row r="16" spans="1:15" x14ac:dyDescent="0.3">
      <c r="A16" s="47">
        <v>14</v>
      </c>
      <c r="B16" s="1">
        <v>42714</v>
      </c>
      <c r="C16" t="s">
        <v>48</v>
      </c>
      <c r="D16" s="56" t="s">
        <v>49</v>
      </c>
      <c r="E16">
        <v>98103</v>
      </c>
      <c r="F16" t="s">
        <v>50</v>
      </c>
      <c r="G16" s="56" t="s">
        <v>21</v>
      </c>
      <c r="H16" s="56" t="s">
        <v>39</v>
      </c>
      <c r="I16" s="50">
        <v>407.97600000000006</v>
      </c>
      <c r="J16">
        <v>3</v>
      </c>
      <c r="K16" s="53">
        <v>132.59219999999993</v>
      </c>
      <c r="N16" t="s">
        <v>75</v>
      </c>
    </row>
    <row r="17" spans="1:14" x14ac:dyDescent="0.3">
      <c r="A17" s="47">
        <v>15</v>
      </c>
      <c r="B17" s="1">
        <v>42334</v>
      </c>
      <c r="C17" t="s">
        <v>51</v>
      </c>
      <c r="D17" s="56" t="s">
        <v>52</v>
      </c>
      <c r="E17">
        <v>76106</v>
      </c>
      <c r="F17" t="s">
        <v>53</v>
      </c>
      <c r="G17" s="56" t="s">
        <v>21</v>
      </c>
      <c r="H17" s="56" t="s">
        <v>41</v>
      </c>
      <c r="I17" s="50">
        <v>68.809999999999988</v>
      </c>
      <c r="J17">
        <v>5</v>
      </c>
      <c r="K17" s="53">
        <v>-123.858</v>
      </c>
    </row>
    <row r="18" spans="1:14" x14ac:dyDescent="0.3">
      <c r="A18" s="47">
        <v>16</v>
      </c>
      <c r="B18" s="1">
        <v>42334</v>
      </c>
      <c r="C18" t="s">
        <v>51</v>
      </c>
      <c r="D18" s="56" t="s">
        <v>52</v>
      </c>
      <c r="E18">
        <v>76106</v>
      </c>
      <c r="F18" t="s">
        <v>54</v>
      </c>
      <c r="G18" s="56" t="s">
        <v>21</v>
      </c>
      <c r="H18" s="56" t="s">
        <v>39</v>
      </c>
      <c r="I18" s="50">
        <v>2.5439999999999996</v>
      </c>
      <c r="J18">
        <v>3</v>
      </c>
      <c r="K18" s="53">
        <v>-3.8160000000000016</v>
      </c>
      <c r="N18" t="s">
        <v>77</v>
      </c>
    </row>
    <row r="19" spans="1:14" x14ac:dyDescent="0.3">
      <c r="A19" s="47">
        <v>17</v>
      </c>
      <c r="B19" s="1">
        <v>41961</v>
      </c>
      <c r="C19" t="s">
        <v>55</v>
      </c>
      <c r="D19" s="56" t="s">
        <v>56</v>
      </c>
      <c r="E19">
        <v>53711</v>
      </c>
      <c r="F19" t="s">
        <v>57</v>
      </c>
      <c r="G19" s="56" t="s">
        <v>21</v>
      </c>
      <c r="H19" s="56" t="s">
        <v>28</v>
      </c>
      <c r="I19" s="50">
        <v>665.88</v>
      </c>
      <c r="J19">
        <v>6</v>
      </c>
      <c r="K19" s="53">
        <v>13.317599999999999</v>
      </c>
    </row>
    <row r="20" spans="1:14" x14ac:dyDescent="0.3">
      <c r="A20" s="47">
        <v>18</v>
      </c>
      <c r="B20" s="1">
        <v>41774</v>
      </c>
      <c r="C20" t="s">
        <v>58</v>
      </c>
      <c r="D20" s="56" t="s">
        <v>59</v>
      </c>
      <c r="E20">
        <v>84084</v>
      </c>
      <c r="F20" t="s">
        <v>60</v>
      </c>
      <c r="G20" s="56" t="s">
        <v>21</v>
      </c>
      <c r="H20" s="56" t="s">
        <v>28</v>
      </c>
      <c r="I20" s="50">
        <v>55.5</v>
      </c>
      <c r="J20">
        <v>2</v>
      </c>
      <c r="K20" s="53">
        <v>9.9899999999999949</v>
      </c>
    </row>
    <row r="21" spans="1:14" x14ac:dyDescent="0.3">
      <c r="A21" s="47">
        <v>19</v>
      </c>
      <c r="B21" s="1">
        <v>41883</v>
      </c>
      <c r="C21" t="s">
        <v>61</v>
      </c>
      <c r="D21" s="56" t="s">
        <v>62</v>
      </c>
      <c r="E21">
        <v>94109</v>
      </c>
      <c r="F21" t="s">
        <v>63</v>
      </c>
      <c r="G21" s="56" t="s">
        <v>21</v>
      </c>
      <c r="H21" s="56" t="s">
        <v>34</v>
      </c>
      <c r="I21" s="50">
        <v>8.56</v>
      </c>
      <c r="J21">
        <v>2</v>
      </c>
      <c r="K21" s="53">
        <v>2.4823999999999993</v>
      </c>
    </row>
    <row r="22" spans="1:14" x14ac:dyDescent="0.3">
      <c r="A22" s="47">
        <v>20</v>
      </c>
      <c r="B22" s="1">
        <v>41883</v>
      </c>
      <c r="C22" t="s">
        <v>61</v>
      </c>
      <c r="D22" s="56" t="s">
        <v>62</v>
      </c>
      <c r="E22">
        <v>94109</v>
      </c>
      <c r="F22" t="s">
        <v>64</v>
      </c>
      <c r="G22" s="56" t="s">
        <v>36</v>
      </c>
      <c r="H22" s="56" t="s">
        <v>37</v>
      </c>
      <c r="I22" s="50">
        <v>213.48000000000002</v>
      </c>
      <c r="J22">
        <v>3</v>
      </c>
      <c r="K22" s="53">
        <v>16.010999999999981</v>
      </c>
    </row>
    <row r="23" spans="1:14" x14ac:dyDescent="0.3">
      <c r="A23" s="47">
        <v>21</v>
      </c>
      <c r="B23" s="1">
        <v>41883</v>
      </c>
      <c r="C23" t="s">
        <v>61</v>
      </c>
      <c r="D23" s="56" t="s">
        <v>62</v>
      </c>
      <c r="E23">
        <v>94109</v>
      </c>
      <c r="F23" t="s">
        <v>65</v>
      </c>
      <c r="G23" s="56" t="s">
        <v>21</v>
      </c>
      <c r="H23" s="56" t="s">
        <v>39</v>
      </c>
      <c r="I23" s="50">
        <v>22.72</v>
      </c>
      <c r="J23">
        <v>4</v>
      </c>
      <c r="K23" s="53">
        <v>7.3839999999999986</v>
      </c>
    </row>
    <row r="24" spans="1:14" x14ac:dyDescent="0.3">
      <c r="A24" s="47">
        <v>22</v>
      </c>
      <c r="B24" s="1">
        <v>42717</v>
      </c>
      <c r="C24" t="s">
        <v>66</v>
      </c>
      <c r="D24" s="56" t="s">
        <v>67</v>
      </c>
      <c r="E24">
        <v>68025</v>
      </c>
      <c r="F24" t="s">
        <v>68</v>
      </c>
      <c r="G24" s="56" t="s">
        <v>21</v>
      </c>
      <c r="H24" s="56" t="s">
        <v>34</v>
      </c>
      <c r="I24" s="50">
        <v>19.459999999999997</v>
      </c>
      <c r="J24">
        <v>7</v>
      </c>
      <c r="K24" s="53">
        <v>5.0595999999999997</v>
      </c>
    </row>
    <row r="25" spans="1:14" ht="15" thickBot="1" x14ac:dyDescent="0.35">
      <c r="A25" s="48">
        <v>23</v>
      </c>
      <c r="B25" s="5">
        <v>42717</v>
      </c>
      <c r="C25" s="6" t="s">
        <v>66</v>
      </c>
      <c r="D25" s="57" t="s">
        <v>67</v>
      </c>
      <c r="E25" s="6">
        <v>68025</v>
      </c>
      <c r="F25" s="6" t="s">
        <v>69</v>
      </c>
      <c r="G25" s="57" t="s">
        <v>21</v>
      </c>
      <c r="H25" s="57" t="s">
        <v>41</v>
      </c>
      <c r="I25" s="51">
        <v>60.339999999999996</v>
      </c>
      <c r="J25" s="6">
        <v>7</v>
      </c>
      <c r="K25" s="54">
        <v>15.688400000000001</v>
      </c>
    </row>
  </sheetData>
  <mergeCells count="1">
    <mergeCell ref="M3:O3"/>
  </mergeCells>
  <dataValidations count="5">
    <dataValidation type="whole" allowBlank="1" showInputMessage="1" showErrorMessage="1" sqref="A3:A25" xr:uid="{075FB2B0-25E1-4DAC-A1BA-5D7C319C2A66}">
      <formula1>0</formula1>
      <formula2>10000000</formula2>
    </dataValidation>
    <dataValidation type="decimal" allowBlank="1" showInputMessage="1" showErrorMessage="1" sqref="K3:K25" xr:uid="{5530717A-EBDA-47D4-90CD-B8D0079C635E}">
      <formula1>0</formula1>
      <formula2>10000000</formula2>
    </dataValidation>
    <dataValidation type="textLength" allowBlank="1" showInputMessage="1" showErrorMessage="1" sqref="D2:D25 H2:H25" xr:uid="{A6996031-464A-4190-BC3F-04F37EC06762}">
      <formula1>1</formula1>
      <formula2>15</formula2>
    </dataValidation>
    <dataValidation type="date" allowBlank="1" showInputMessage="1" showErrorMessage="1" sqref="B2:B25" xr:uid="{7AC80156-0F73-4BAC-BE0C-9CBB8587BFF9}">
      <formula1>41974</formula1>
      <formula2>46357</formula2>
    </dataValidation>
    <dataValidation type="decimal" allowBlank="1" showInputMessage="1" showErrorMessage="1" promptTitle="Note" prompt="Enter whole number only" sqref="I2:I25" xr:uid="{B2D0BF54-88C3-4A73-B859-9B430921A032}">
      <formula1>0</formula1>
      <formula2>10000000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4F31-934E-4869-BCFC-D353814C974E}">
  <dimension ref="A3:B7"/>
  <sheetViews>
    <sheetView workbookViewId="0">
      <selection activeCell="B5" sqref="B5"/>
    </sheetView>
  </sheetViews>
  <sheetFormatPr defaultRowHeight="14.4" x14ac:dyDescent="0.3"/>
  <cols>
    <col min="1" max="1" width="13.109375" bestFit="1" customWidth="1"/>
    <col min="2" max="3" width="12.109375" bestFit="1" customWidth="1"/>
  </cols>
  <sheetData>
    <row r="3" spans="1:2" x14ac:dyDescent="0.3">
      <c r="A3" s="60" t="s">
        <v>122</v>
      </c>
      <c r="B3" t="s">
        <v>126</v>
      </c>
    </row>
    <row r="4" spans="1:2" x14ac:dyDescent="0.3">
      <c r="A4" s="61" t="s">
        <v>14</v>
      </c>
      <c r="B4" s="62">
        <v>-8.2021304089947678E-2</v>
      </c>
    </row>
    <row r="5" spans="1:2" x14ac:dyDescent="0.3">
      <c r="A5" s="61" t="s">
        <v>21</v>
      </c>
      <c r="B5" s="62">
        <v>0.43095061459826628</v>
      </c>
    </row>
    <row r="6" spans="1:2" x14ac:dyDescent="0.3">
      <c r="A6" s="61" t="s">
        <v>36</v>
      </c>
      <c r="B6" s="62">
        <v>0.65107068949168156</v>
      </c>
    </row>
    <row r="7" spans="1:2" x14ac:dyDescent="0.3">
      <c r="A7" s="61" t="s">
        <v>123</v>
      </c>
      <c r="B7" s="62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B2A8-C9D5-4718-BD6F-85A8B1CE46D0}">
  <dimension ref="A3:B18"/>
  <sheetViews>
    <sheetView workbookViewId="0">
      <selection activeCell="G22" sqref="G2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60" t="s">
        <v>122</v>
      </c>
      <c r="B3" t="s">
        <v>125</v>
      </c>
    </row>
    <row r="4" spans="1:2" x14ac:dyDescent="0.3">
      <c r="A4" s="61" t="s">
        <v>127</v>
      </c>
      <c r="B4">
        <v>4680.4440000000004</v>
      </c>
    </row>
    <row r="5" spans="1:2" x14ac:dyDescent="0.3">
      <c r="A5" s="63" t="s">
        <v>131</v>
      </c>
      <c r="B5">
        <v>55.5</v>
      </c>
    </row>
    <row r="6" spans="1:2" x14ac:dyDescent="0.3">
      <c r="A6" s="63" t="s">
        <v>132</v>
      </c>
      <c r="B6">
        <v>3714.3040000000001</v>
      </c>
    </row>
    <row r="7" spans="1:2" x14ac:dyDescent="0.3">
      <c r="A7" s="63" t="s">
        <v>133</v>
      </c>
      <c r="B7">
        <v>244.76000000000002</v>
      </c>
    </row>
    <row r="8" spans="1:2" x14ac:dyDescent="0.3">
      <c r="A8" s="63" t="s">
        <v>134</v>
      </c>
      <c r="B8">
        <v>665.88</v>
      </c>
    </row>
    <row r="9" spans="1:2" x14ac:dyDescent="0.3">
      <c r="A9" s="61" t="s">
        <v>128</v>
      </c>
      <c r="B9">
        <v>1051.2995000000001</v>
      </c>
    </row>
    <row r="10" spans="1:2" x14ac:dyDescent="0.3">
      <c r="A10" s="63" t="s">
        <v>135</v>
      </c>
      <c r="B10">
        <v>979.94550000000004</v>
      </c>
    </row>
    <row r="11" spans="1:2" x14ac:dyDescent="0.3">
      <c r="A11" s="63" t="s">
        <v>134</v>
      </c>
      <c r="B11">
        <v>71.353999999999985</v>
      </c>
    </row>
    <row r="12" spans="1:2" x14ac:dyDescent="0.3">
      <c r="A12" s="61" t="s">
        <v>129</v>
      </c>
      <c r="B12">
        <v>1496.2959999999998</v>
      </c>
    </row>
    <row r="13" spans="1:2" x14ac:dyDescent="0.3">
      <c r="A13" s="63" t="s">
        <v>132</v>
      </c>
      <c r="B13">
        <v>14.62</v>
      </c>
    </row>
    <row r="14" spans="1:2" x14ac:dyDescent="0.3">
      <c r="A14" s="63" t="s">
        <v>134</v>
      </c>
      <c r="B14">
        <v>993.89999999999986</v>
      </c>
    </row>
    <row r="15" spans="1:2" x14ac:dyDescent="0.3">
      <c r="A15" s="63" t="s">
        <v>136</v>
      </c>
      <c r="B15">
        <v>487.77600000000001</v>
      </c>
    </row>
    <row r="16" spans="1:2" x14ac:dyDescent="0.3">
      <c r="A16" s="61" t="s">
        <v>130</v>
      </c>
      <c r="B16">
        <v>15.552000000000003</v>
      </c>
    </row>
    <row r="17" spans="1:2" x14ac:dyDescent="0.3">
      <c r="A17" s="63" t="s">
        <v>137</v>
      </c>
      <c r="B17">
        <v>15.552000000000003</v>
      </c>
    </row>
    <row r="18" spans="1:2" x14ac:dyDescent="0.3">
      <c r="A18" s="61" t="s">
        <v>123</v>
      </c>
      <c r="B18">
        <v>7243.5914999999995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EDFE-A939-4F9C-A818-D5F42AECE700}">
  <dimension ref="A3:C15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3" spans="1:3" x14ac:dyDescent="0.3">
      <c r="A3" s="60" t="s">
        <v>122</v>
      </c>
      <c r="B3" t="s">
        <v>125</v>
      </c>
      <c r="C3" t="s">
        <v>126</v>
      </c>
    </row>
    <row r="4" spans="1:3" x14ac:dyDescent="0.3">
      <c r="A4" s="61" t="s">
        <v>41</v>
      </c>
      <c r="B4">
        <v>244.04999999999998</v>
      </c>
      <c r="C4" s="45">
        <v>-73.699600000000004</v>
      </c>
    </row>
    <row r="5" spans="1:3" x14ac:dyDescent="0.3">
      <c r="A5" s="61" t="s">
        <v>34</v>
      </c>
      <c r="B5">
        <v>35.299999999999997</v>
      </c>
      <c r="C5" s="45">
        <v>9.5076000000000001</v>
      </c>
    </row>
    <row r="6" spans="1:3" x14ac:dyDescent="0.3">
      <c r="A6" s="61" t="s">
        <v>39</v>
      </c>
      <c r="B6">
        <v>451.74400000000003</v>
      </c>
      <c r="C6" s="45">
        <v>141.94269999999992</v>
      </c>
    </row>
    <row r="7" spans="1:3" x14ac:dyDescent="0.3">
      <c r="A7" s="61" t="s">
        <v>15</v>
      </c>
      <c r="B7">
        <v>261.95999999999998</v>
      </c>
      <c r="C7" s="45">
        <v>41.913600000000002</v>
      </c>
    </row>
    <row r="8" spans="1:3" x14ac:dyDescent="0.3">
      <c r="A8" s="61" t="s">
        <v>17</v>
      </c>
      <c r="B8">
        <v>731.93999999999994</v>
      </c>
      <c r="C8" s="45">
        <v>219.58199999999997</v>
      </c>
    </row>
    <row r="9" spans="1:3" x14ac:dyDescent="0.3">
      <c r="A9" s="61" t="s">
        <v>32</v>
      </c>
      <c r="B9">
        <v>48.86</v>
      </c>
      <c r="C9" s="45">
        <v>14.169399999999996</v>
      </c>
    </row>
    <row r="10" spans="1:3" x14ac:dyDescent="0.3">
      <c r="A10" s="61" t="s">
        <v>22</v>
      </c>
      <c r="B10">
        <v>14.62</v>
      </c>
      <c r="C10" s="45">
        <v>6.8713999999999995</v>
      </c>
    </row>
    <row r="11" spans="1:3" x14ac:dyDescent="0.3">
      <c r="A11" s="61" t="s">
        <v>47</v>
      </c>
      <c r="B11">
        <v>15.552000000000003</v>
      </c>
      <c r="C11" s="45">
        <v>5.4432</v>
      </c>
    </row>
    <row r="12" spans="1:3" x14ac:dyDescent="0.3">
      <c r="A12" s="61" t="s">
        <v>37</v>
      </c>
      <c r="B12">
        <v>2032.056</v>
      </c>
      <c r="C12" s="45">
        <v>175.08300000000003</v>
      </c>
    </row>
    <row r="13" spans="1:3" x14ac:dyDescent="0.3">
      <c r="A13" s="61" t="s">
        <v>28</v>
      </c>
      <c r="B13">
        <v>743.74800000000005</v>
      </c>
      <c r="C13" s="45">
        <v>25.823999999999991</v>
      </c>
    </row>
    <row r="14" spans="1:3" x14ac:dyDescent="0.3">
      <c r="A14" s="61" t="s">
        <v>26</v>
      </c>
      <c r="B14">
        <v>2663.7615000000001</v>
      </c>
      <c r="C14" s="45">
        <v>-297.72180000000026</v>
      </c>
    </row>
    <row r="15" spans="1:3" x14ac:dyDescent="0.3">
      <c r="A15" s="61" t="s">
        <v>123</v>
      </c>
      <c r="B15">
        <v>7243.5915000000005</v>
      </c>
      <c r="C15" s="45">
        <v>268.91549999999961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A66F-260C-40CD-AD82-DE5AA4E9F642}">
  <dimension ref="A3:B15"/>
  <sheetViews>
    <sheetView workbookViewId="0">
      <selection activeCell="O15" sqref="O15"/>
    </sheetView>
  </sheetViews>
  <sheetFormatPr defaultRowHeight="14.4" x14ac:dyDescent="0.3"/>
  <cols>
    <col min="1" max="1" width="16" bestFit="1" customWidth="1"/>
    <col min="2" max="2" width="10.77734375" bestFit="1" customWidth="1"/>
  </cols>
  <sheetData>
    <row r="3" spans="1:2" x14ac:dyDescent="0.3">
      <c r="A3" s="60" t="s">
        <v>122</v>
      </c>
      <c r="B3" t="s">
        <v>124</v>
      </c>
    </row>
    <row r="4" spans="1:2" x14ac:dyDescent="0.3">
      <c r="A4" s="61" t="s">
        <v>62</v>
      </c>
      <c r="B4">
        <v>9</v>
      </c>
    </row>
    <row r="5" spans="1:2" x14ac:dyDescent="0.3">
      <c r="A5" s="61" t="s">
        <v>24</v>
      </c>
      <c r="B5">
        <v>7</v>
      </c>
    </row>
    <row r="6" spans="1:2" x14ac:dyDescent="0.3">
      <c r="A6" s="61" t="s">
        <v>56</v>
      </c>
      <c r="B6">
        <v>6</v>
      </c>
    </row>
    <row r="7" spans="1:2" x14ac:dyDescent="0.3">
      <c r="A7" s="61" t="s">
        <v>67</v>
      </c>
      <c r="B7">
        <v>14</v>
      </c>
    </row>
    <row r="8" spans="1:2" x14ac:dyDescent="0.3">
      <c r="A8" s="61" t="s">
        <v>49</v>
      </c>
      <c r="B8">
        <v>3</v>
      </c>
    </row>
    <row r="9" spans="1:2" x14ac:dyDescent="0.3">
      <c r="A9" s="61" t="s">
        <v>52</v>
      </c>
      <c r="B9">
        <v>8</v>
      </c>
    </row>
    <row r="10" spans="1:2" x14ac:dyDescent="0.3">
      <c r="A10" s="61" t="s">
        <v>19</v>
      </c>
      <c r="B10">
        <v>2</v>
      </c>
    </row>
    <row r="11" spans="1:2" x14ac:dyDescent="0.3">
      <c r="A11" s="61" t="s">
        <v>12</v>
      </c>
      <c r="B11">
        <v>5</v>
      </c>
    </row>
    <row r="12" spans="1:2" x14ac:dyDescent="0.3">
      <c r="A12" s="61" t="s">
        <v>30</v>
      </c>
      <c r="B12">
        <v>38</v>
      </c>
    </row>
    <row r="13" spans="1:2" x14ac:dyDescent="0.3">
      <c r="A13" s="61" t="s">
        <v>45</v>
      </c>
      <c r="B13">
        <v>3</v>
      </c>
    </row>
    <row r="14" spans="1:2" x14ac:dyDescent="0.3">
      <c r="A14" s="61" t="s">
        <v>59</v>
      </c>
      <c r="B14">
        <v>2</v>
      </c>
    </row>
    <row r="15" spans="1:2" x14ac:dyDescent="0.3">
      <c r="A15" s="61" t="s">
        <v>123</v>
      </c>
      <c r="B15">
        <v>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327F-0C1A-4BF5-A234-720592860E8E}">
  <dimension ref="A2:S25"/>
  <sheetViews>
    <sheetView zoomScale="76" zoomScaleNormal="76" workbookViewId="0">
      <selection activeCell="L3" sqref="L3:L24"/>
    </sheetView>
  </sheetViews>
  <sheetFormatPr defaultRowHeight="14.4" x14ac:dyDescent="0.3"/>
  <cols>
    <col min="1" max="1" width="11.6640625" customWidth="1"/>
    <col min="2" max="2" width="14.77734375" customWidth="1"/>
    <col min="3" max="3" width="18.33203125" customWidth="1"/>
    <col min="4" max="4" width="22.88671875" customWidth="1"/>
    <col min="5" max="5" width="17.5546875" customWidth="1"/>
    <col min="6" max="6" width="16.5546875" bestFit="1" customWidth="1"/>
    <col min="7" max="7" width="14.5546875" bestFit="1" customWidth="1"/>
    <col min="8" max="8" width="19.44140625" customWidth="1"/>
    <col min="9" max="9" width="9.109375" customWidth="1"/>
    <col min="10" max="10" width="7.88671875" customWidth="1"/>
    <col min="11" max="11" width="9.88671875" customWidth="1"/>
    <col min="13" max="13" width="12" bestFit="1" customWidth="1"/>
  </cols>
  <sheetData>
    <row r="2" spans="1:19" ht="21.6" thickBot="1" x14ac:dyDescent="0.45">
      <c r="A2" s="58" t="s">
        <v>0</v>
      </c>
      <c r="B2" s="44" t="s">
        <v>1</v>
      </c>
      <c r="C2" s="44" t="s">
        <v>2</v>
      </c>
      <c r="D2" s="44" t="s">
        <v>3</v>
      </c>
      <c r="E2" s="44" t="s">
        <v>4</v>
      </c>
      <c r="F2" s="44" t="s">
        <v>5</v>
      </c>
      <c r="G2" s="44" t="s">
        <v>6</v>
      </c>
      <c r="H2" s="44" t="s">
        <v>7</v>
      </c>
      <c r="I2" s="44" t="s">
        <v>8</v>
      </c>
      <c r="J2" s="44" t="s">
        <v>113</v>
      </c>
      <c r="K2" s="59" t="s">
        <v>10</v>
      </c>
      <c r="L2" s="44" t="s">
        <v>138</v>
      </c>
    </row>
    <row r="3" spans="1:19" ht="21" x14ac:dyDescent="0.4">
      <c r="A3" s="3">
        <v>1</v>
      </c>
      <c r="B3" s="1">
        <v>42685</v>
      </c>
      <c r="C3" t="s">
        <v>11</v>
      </c>
      <c r="D3" t="s">
        <v>12</v>
      </c>
      <c r="E3">
        <v>42420</v>
      </c>
      <c r="F3" t="s">
        <v>13</v>
      </c>
      <c r="G3" t="s">
        <v>14</v>
      </c>
      <c r="H3" t="s">
        <v>15</v>
      </c>
      <c r="I3">
        <v>261.95999999999998</v>
      </c>
      <c r="J3">
        <v>2</v>
      </c>
      <c r="K3" s="41">
        <v>41.913600000000002</v>
      </c>
      <c r="M3" s="43" t="str">
        <f>PROPER("Create a appropriate Pivot Table and Chart also style the charts.")</f>
        <v>Create A Appropriate Pivot Table And Chart Also Style The Charts.</v>
      </c>
    </row>
    <row r="4" spans="1:19" x14ac:dyDescent="0.3">
      <c r="A4" s="3">
        <v>2</v>
      </c>
      <c r="B4" s="1">
        <v>42685</v>
      </c>
      <c r="C4" t="s">
        <v>11</v>
      </c>
      <c r="D4" t="s">
        <v>12</v>
      </c>
      <c r="E4">
        <v>42420</v>
      </c>
      <c r="F4" t="s">
        <v>16</v>
      </c>
      <c r="G4" t="s">
        <v>14</v>
      </c>
      <c r="H4" t="s">
        <v>17</v>
      </c>
      <c r="I4">
        <v>731.93999999999994</v>
      </c>
      <c r="J4">
        <v>3</v>
      </c>
      <c r="K4" s="41">
        <v>219.58199999999997</v>
      </c>
    </row>
    <row r="5" spans="1:19" x14ac:dyDescent="0.3">
      <c r="A5" s="3">
        <v>3</v>
      </c>
      <c r="B5" s="1">
        <v>42537</v>
      </c>
      <c r="C5" t="s">
        <v>18</v>
      </c>
      <c r="D5" t="s">
        <v>19</v>
      </c>
      <c r="E5">
        <v>90036</v>
      </c>
      <c r="F5" t="s">
        <v>20</v>
      </c>
      <c r="G5" t="s">
        <v>21</v>
      </c>
      <c r="H5" t="s">
        <v>22</v>
      </c>
      <c r="I5">
        <v>14.62</v>
      </c>
      <c r="J5">
        <v>2</v>
      </c>
      <c r="K5" s="41">
        <v>6.8713999999999995</v>
      </c>
      <c r="M5" t="s">
        <v>116</v>
      </c>
    </row>
    <row r="6" spans="1:19" x14ac:dyDescent="0.3">
      <c r="A6" s="3">
        <v>4</v>
      </c>
      <c r="B6" s="1">
        <v>42295</v>
      </c>
      <c r="C6" t="s">
        <v>23</v>
      </c>
      <c r="D6" t="s">
        <v>24</v>
      </c>
      <c r="E6">
        <v>33311</v>
      </c>
      <c r="F6" t="s">
        <v>25</v>
      </c>
      <c r="G6" t="s">
        <v>14</v>
      </c>
      <c r="H6" t="s">
        <v>26</v>
      </c>
      <c r="I6">
        <v>957.57749999999999</v>
      </c>
      <c r="J6">
        <v>5</v>
      </c>
      <c r="K6" s="41">
        <v>-383.03100000000006</v>
      </c>
      <c r="M6" t="s">
        <v>112</v>
      </c>
    </row>
    <row r="7" spans="1:19" x14ac:dyDescent="0.3">
      <c r="A7" s="3">
        <v>5</v>
      </c>
      <c r="B7" s="1">
        <v>42295</v>
      </c>
      <c r="C7" t="s">
        <v>23</v>
      </c>
      <c r="D7" t="s">
        <v>24</v>
      </c>
      <c r="E7">
        <v>33311</v>
      </c>
      <c r="F7" t="s">
        <v>27</v>
      </c>
      <c r="G7" t="s">
        <v>21</v>
      </c>
      <c r="H7" t="s">
        <v>28</v>
      </c>
      <c r="I7">
        <v>22.368000000000002</v>
      </c>
      <c r="J7">
        <v>2</v>
      </c>
      <c r="K7" s="41">
        <v>2.5163999999999991</v>
      </c>
      <c r="M7" t="s">
        <v>114</v>
      </c>
    </row>
    <row r="8" spans="1:19" x14ac:dyDescent="0.3">
      <c r="A8" s="3">
        <v>6</v>
      </c>
      <c r="B8" s="1">
        <v>41804</v>
      </c>
      <c r="C8" t="s">
        <v>29</v>
      </c>
      <c r="D8" t="s">
        <v>30</v>
      </c>
      <c r="E8">
        <v>90032</v>
      </c>
      <c r="F8" t="s">
        <v>31</v>
      </c>
      <c r="G8" t="s">
        <v>14</v>
      </c>
      <c r="H8" t="s">
        <v>32</v>
      </c>
      <c r="I8">
        <v>48.86</v>
      </c>
      <c r="J8">
        <v>7</v>
      </c>
      <c r="K8" s="41">
        <v>14.169399999999996</v>
      </c>
      <c r="M8" t="s">
        <v>115</v>
      </c>
    </row>
    <row r="9" spans="1:19" x14ac:dyDescent="0.3">
      <c r="A9" s="3">
        <v>7</v>
      </c>
      <c r="B9" s="1">
        <v>41804</v>
      </c>
      <c r="C9" t="s">
        <v>29</v>
      </c>
      <c r="D9" t="s">
        <v>30</v>
      </c>
      <c r="E9">
        <v>90032</v>
      </c>
      <c r="F9" t="s">
        <v>33</v>
      </c>
      <c r="G9" t="s">
        <v>21</v>
      </c>
      <c r="H9" t="s">
        <v>34</v>
      </c>
      <c r="I9">
        <v>7.28</v>
      </c>
      <c r="J9">
        <v>4</v>
      </c>
      <c r="K9" s="41">
        <v>1.9656000000000002</v>
      </c>
    </row>
    <row r="10" spans="1:19" x14ac:dyDescent="0.3">
      <c r="A10" s="3">
        <v>8</v>
      </c>
      <c r="B10" s="1">
        <v>41804</v>
      </c>
      <c r="C10" t="s">
        <v>29</v>
      </c>
      <c r="D10" t="s">
        <v>30</v>
      </c>
      <c r="E10">
        <v>90032</v>
      </c>
      <c r="F10" t="s">
        <v>35</v>
      </c>
      <c r="G10" t="s">
        <v>36</v>
      </c>
      <c r="H10" t="s">
        <v>37</v>
      </c>
      <c r="I10">
        <v>907.15200000000004</v>
      </c>
      <c r="J10">
        <v>6</v>
      </c>
      <c r="K10" s="41">
        <v>90.715200000000038</v>
      </c>
      <c r="M10" t="s">
        <v>120</v>
      </c>
    </row>
    <row r="11" spans="1:19" x14ac:dyDescent="0.3">
      <c r="A11" s="3">
        <v>9</v>
      </c>
      <c r="B11" s="1">
        <v>41804</v>
      </c>
      <c r="C11" t="s">
        <v>29</v>
      </c>
      <c r="D11" t="s">
        <v>30</v>
      </c>
      <c r="E11">
        <v>90032</v>
      </c>
      <c r="F11" t="s">
        <v>38</v>
      </c>
      <c r="G11" t="s">
        <v>21</v>
      </c>
      <c r="H11" t="s">
        <v>39</v>
      </c>
      <c r="I11">
        <v>18.504000000000001</v>
      </c>
      <c r="J11">
        <v>3</v>
      </c>
      <c r="K11" s="41">
        <v>5.7824999999999998</v>
      </c>
      <c r="M11" t="s">
        <v>121</v>
      </c>
    </row>
    <row r="12" spans="1:19" x14ac:dyDescent="0.3">
      <c r="A12" s="3">
        <v>10</v>
      </c>
      <c r="B12" s="1">
        <v>41804</v>
      </c>
      <c r="C12" t="s">
        <v>29</v>
      </c>
      <c r="D12" t="s">
        <v>30</v>
      </c>
      <c r="E12">
        <v>90032</v>
      </c>
      <c r="F12" t="s">
        <v>40</v>
      </c>
      <c r="G12" t="s">
        <v>21</v>
      </c>
      <c r="H12" t="s">
        <v>41</v>
      </c>
      <c r="I12">
        <v>114.9</v>
      </c>
      <c r="J12">
        <v>5</v>
      </c>
      <c r="K12" s="41">
        <v>34.469999999999992</v>
      </c>
    </row>
    <row r="13" spans="1:19" x14ac:dyDescent="0.3">
      <c r="A13" s="3">
        <v>11</v>
      </c>
      <c r="B13" s="1">
        <v>41804</v>
      </c>
      <c r="C13" t="s">
        <v>29</v>
      </c>
      <c r="D13" t="s">
        <v>30</v>
      </c>
      <c r="E13">
        <v>90032</v>
      </c>
      <c r="F13" t="s">
        <v>42</v>
      </c>
      <c r="G13" t="s">
        <v>14</v>
      </c>
      <c r="H13" t="s">
        <v>26</v>
      </c>
      <c r="I13">
        <v>1706.1840000000002</v>
      </c>
      <c r="J13">
        <v>9</v>
      </c>
      <c r="K13" s="41">
        <v>85.309199999999805</v>
      </c>
      <c r="M13" t="s">
        <v>117</v>
      </c>
    </row>
    <row r="14" spans="1:19" x14ac:dyDescent="0.3">
      <c r="A14" s="3">
        <v>12</v>
      </c>
      <c r="B14" s="1">
        <v>41804</v>
      </c>
      <c r="C14" t="s">
        <v>29</v>
      </c>
      <c r="D14" t="s">
        <v>30</v>
      </c>
      <c r="E14">
        <v>90032</v>
      </c>
      <c r="F14" t="s">
        <v>43</v>
      </c>
      <c r="G14" t="s">
        <v>36</v>
      </c>
      <c r="H14" t="s">
        <v>37</v>
      </c>
      <c r="I14">
        <v>911.42399999999998</v>
      </c>
      <c r="J14">
        <v>4</v>
      </c>
      <c r="K14" s="41">
        <v>68.356800000000021</v>
      </c>
      <c r="M14" t="s">
        <v>118</v>
      </c>
      <c r="S14" t="s">
        <v>119</v>
      </c>
    </row>
    <row r="15" spans="1:19" x14ac:dyDescent="0.3">
      <c r="A15" s="3">
        <v>13</v>
      </c>
      <c r="B15" s="1">
        <v>42845</v>
      </c>
      <c r="C15" t="s">
        <v>44</v>
      </c>
      <c r="D15" t="s">
        <v>45</v>
      </c>
      <c r="E15">
        <v>28027</v>
      </c>
      <c r="F15" t="s">
        <v>46</v>
      </c>
      <c r="G15" t="s">
        <v>21</v>
      </c>
      <c r="H15" t="s">
        <v>47</v>
      </c>
      <c r="I15">
        <v>15.552000000000003</v>
      </c>
      <c r="J15">
        <v>3</v>
      </c>
      <c r="K15" s="41">
        <v>5.4432</v>
      </c>
    </row>
    <row r="16" spans="1:19" x14ac:dyDescent="0.3">
      <c r="A16" s="3">
        <v>14</v>
      </c>
      <c r="B16" s="1">
        <v>42714</v>
      </c>
      <c r="C16" t="s">
        <v>48</v>
      </c>
      <c r="D16" t="s">
        <v>49</v>
      </c>
      <c r="E16">
        <v>98103</v>
      </c>
      <c r="F16" t="s">
        <v>50</v>
      </c>
      <c r="G16" t="s">
        <v>21</v>
      </c>
      <c r="H16" t="s">
        <v>39</v>
      </c>
      <c r="I16">
        <v>407.97600000000006</v>
      </c>
      <c r="J16">
        <v>3</v>
      </c>
      <c r="K16" s="41">
        <v>132.59219999999993</v>
      </c>
    </row>
    <row r="17" spans="1:11" x14ac:dyDescent="0.3">
      <c r="A17" s="3">
        <v>15</v>
      </c>
      <c r="B17" s="1">
        <v>42334</v>
      </c>
      <c r="C17" t="s">
        <v>51</v>
      </c>
      <c r="D17" t="s">
        <v>52</v>
      </c>
      <c r="E17">
        <v>76106</v>
      </c>
      <c r="F17" t="s">
        <v>53</v>
      </c>
      <c r="G17" t="s">
        <v>21</v>
      </c>
      <c r="H17" t="s">
        <v>41</v>
      </c>
      <c r="I17">
        <v>68.809999999999988</v>
      </c>
      <c r="J17">
        <v>5</v>
      </c>
      <c r="K17" s="41">
        <v>-123.858</v>
      </c>
    </row>
    <row r="18" spans="1:11" x14ac:dyDescent="0.3">
      <c r="A18" s="3">
        <v>16</v>
      </c>
      <c r="B18" s="1">
        <v>42334</v>
      </c>
      <c r="C18" t="s">
        <v>51</v>
      </c>
      <c r="D18" t="s">
        <v>52</v>
      </c>
      <c r="E18">
        <v>76106</v>
      </c>
      <c r="F18" t="s">
        <v>54</v>
      </c>
      <c r="G18" t="s">
        <v>21</v>
      </c>
      <c r="H18" t="s">
        <v>39</v>
      </c>
      <c r="I18">
        <v>2.5439999999999996</v>
      </c>
      <c r="J18">
        <v>3</v>
      </c>
      <c r="K18" s="41">
        <v>-3.8160000000000016</v>
      </c>
    </row>
    <row r="19" spans="1:11" x14ac:dyDescent="0.3">
      <c r="A19" s="3">
        <v>17</v>
      </c>
      <c r="B19" s="1">
        <v>41961</v>
      </c>
      <c r="C19" t="s">
        <v>55</v>
      </c>
      <c r="D19" t="s">
        <v>56</v>
      </c>
      <c r="E19">
        <v>53711</v>
      </c>
      <c r="F19" t="s">
        <v>57</v>
      </c>
      <c r="G19" t="s">
        <v>21</v>
      </c>
      <c r="H19" t="s">
        <v>28</v>
      </c>
      <c r="I19">
        <v>665.88</v>
      </c>
      <c r="J19">
        <v>6</v>
      </c>
      <c r="K19" s="41">
        <v>13.317599999999999</v>
      </c>
    </row>
    <row r="20" spans="1:11" x14ac:dyDescent="0.3">
      <c r="A20" s="3">
        <v>18</v>
      </c>
      <c r="B20" s="1">
        <v>41774</v>
      </c>
      <c r="C20" t="s">
        <v>58</v>
      </c>
      <c r="D20" t="s">
        <v>59</v>
      </c>
      <c r="E20">
        <v>84084</v>
      </c>
      <c r="F20" t="s">
        <v>60</v>
      </c>
      <c r="G20" t="s">
        <v>21</v>
      </c>
      <c r="H20" t="s">
        <v>28</v>
      </c>
      <c r="I20">
        <v>55.5</v>
      </c>
      <c r="J20">
        <v>2</v>
      </c>
      <c r="K20" s="41">
        <v>9.9899999999999949</v>
      </c>
    </row>
    <row r="21" spans="1:11" x14ac:dyDescent="0.3">
      <c r="A21" s="3">
        <v>19</v>
      </c>
      <c r="B21" s="1">
        <v>41883</v>
      </c>
      <c r="C21" t="s">
        <v>61</v>
      </c>
      <c r="D21" t="s">
        <v>62</v>
      </c>
      <c r="E21">
        <v>94109</v>
      </c>
      <c r="F21" t="s">
        <v>63</v>
      </c>
      <c r="G21" t="s">
        <v>21</v>
      </c>
      <c r="H21" t="s">
        <v>34</v>
      </c>
      <c r="I21">
        <v>8.56</v>
      </c>
      <c r="J21">
        <v>2</v>
      </c>
      <c r="K21" s="41">
        <v>2.4823999999999993</v>
      </c>
    </row>
    <row r="22" spans="1:11" x14ac:dyDescent="0.3">
      <c r="A22" s="3">
        <v>20</v>
      </c>
      <c r="B22" s="1">
        <v>41883</v>
      </c>
      <c r="C22" t="s">
        <v>61</v>
      </c>
      <c r="D22" t="s">
        <v>62</v>
      </c>
      <c r="E22">
        <v>94109</v>
      </c>
      <c r="F22" t="s">
        <v>64</v>
      </c>
      <c r="G22" t="s">
        <v>36</v>
      </c>
      <c r="H22" t="s">
        <v>37</v>
      </c>
      <c r="I22">
        <v>213.48000000000002</v>
      </c>
      <c r="J22">
        <v>3</v>
      </c>
      <c r="K22" s="41">
        <v>16.010999999999981</v>
      </c>
    </row>
    <row r="23" spans="1:11" x14ac:dyDescent="0.3">
      <c r="A23" s="3">
        <v>21</v>
      </c>
      <c r="B23" s="1">
        <v>41883</v>
      </c>
      <c r="C23" t="s">
        <v>61</v>
      </c>
      <c r="D23" t="s">
        <v>62</v>
      </c>
      <c r="E23">
        <v>94109</v>
      </c>
      <c r="F23" t="s">
        <v>65</v>
      </c>
      <c r="G23" t="s">
        <v>21</v>
      </c>
      <c r="H23" t="s">
        <v>39</v>
      </c>
      <c r="I23">
        <v>22.72</v>
      </c>
      <c r="J23">
        <v>4</v>
      </c>
      <c r="K23" s="41">
        <v>7.3839999999999986</v>
      </c>
    </row>
    <row r="24" spans="1:11" x14ac:dyDescent="0.3">
      <c r="A24" s="3">
        <v>22</v>
      </c>
      <c r="B24" s="1">
        <v>42717</v>
      </c>
      <c r="C24" t="s">
        <v>66</v>
      </c>
      <c r="D24" t="s">
        <v>67</v>
      </c>
      <c r="E24">
        <v>68025</v>
      </c>
      <c r="F24" t="s">
        <v>68</v>
      </c>
      <c r="G24" t="s">
        <v>21</v>
      </c>
      <c r="H24" t="s">
        <v>34</v>
      </c>
      <c r="I24">
        <v>19.459999999999997</v>
      </c>
      <c r="J24">
        <v>7</v>
      </c>
      <c r="K24" s="41">
        <v>5.0595999999999997</v>
      </c>
    </row>
    <row r="25" spans="1:11" ht="15" thickBot="1" x14ac:dyDescent="0.35">
      <c r="A25" s="4">
        <v>23</v>
      </c>
      <c r="B25" s="5">
        <v>42717</v>
      </c>
      <c r="C25" s="6" t="s">
        <v>66</v>
      </c>
      <c r="D25" s="6" t="s">
        <v>67</v>
      </c>
      <c r="E25" s="6">
        <v>68025</v>
      </c>
      <c r="F25" s="6" t="s">
        <v>69</v>
      </c>
      <c r="G25" s="6" t="s">
        <v>21</v>
      </c>
      <c r="H25" s="6" t="s">
        <v>41</v>
      </c>
      <c r="I25" s="6">
        <v>60.339999999999996</v>
      </c>
      <c r="J25" s="6">
        <v>7</v>
      </c>
      <c r="K25" s="42">
        <v>15.688400000000001</v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low="1" first="1" xr2:uid="{7AD0A1A8-5AD6-4F43-964C-BC2A72777B0A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Charts!I3:I25</xm:f>
              <xm:sqref>T14</xm:sqref>
            </x14:sparkline>
          </x14:sparklines>
        </x14:sparklineGroup>
        <x14:sparklineGroup displayEmptyCellsAs="gap" high="1" xr2:uid="{3421EF8F-439E-46C4-B9C1-19E538A225F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Charts!I3:I25</xm:f>
              <xm:sqref>L3</xm:sqref>
            </x14:sparkline>
            <x14:sparkline>
              <xm:f>Charts!I4:I26</xm:f>
              <xm:sqref>L4</xm:sqref>
            </x14:sparkline>
            <x14:sparkline>
              <xm:f>Charts!I5:I27</xm:f>
              <xm:sqref>L5</xm:sqref>
            </x14:sparkline>
            <x14:sparkline>
              <xm:f>Charts!I6:I28</xm:f>
              <xm:sqref>L6</xm:sqref>
            </x14:sparkline>
            <x14:sparkline>
              <xm:f>Charts!I7:I29</xm:f>
              <xm:sqref>L7</xm:sqref>
            </x14:sparkline>
            <x14:sparkline>
              <xm:f>Charts!I8:I30</xm:f>
              <xm:sqref>L8</xm:sqref>
            </x14:sparkline>
            <x14:sparkline>
              <xm:f>Charts!I9:I31</xm:f>
              <xm:sqref>L9</xm:sqref>
            </x14:sparkline>
            <x14:sparkline>
              <xm:f>Charts!I10:I32</xm:f>
              <xm:sqref>L10</xm:sqref>
            </x14:sparkline>
            <x14:sparkline>
              <xm:f>Charts!I11:I33</xm:f>
              <xm:sqref>L11</xm:sqref>
            </x14:sparkline>
            <x14:sparkline>
              <xm:f>Charts!I12:I34</xm:f>
              <xm:sqref>L12</xm:sqref>
            </x14:sparkline>
            <x14:sparkline>
              <xm:f>Charts!I13:I35</xm:f>
              <xm:sqref>L13</xm:sqref>
            </x14:sparkline>
            <x14:sparkline>
              <xm:f>Charts!I14:I36</xm:f>
              <xm:sqref>L14</xm:sqref>
            </x14:sparkline>
            <x14:sparkline>
              <xm:f>Charts!I15:I37</xm:f>
              <xm:sqref>L15</xm:sqref>
            </x14:sparkline>
            <x14:sparkline>
              <xm:f>Charts!I16:I38</xm:f>
              <xm:sqref>L16</xm:sqref>
            </x14:sparkline>
            <x14:sparkline>
              <xm:f>Charts!I17:I39</xm:f>
              <xm:sqref>L17</xm:sqref>
            </x14:sparkline>
            <x14:sparkline>
              <xm:f>Charts!I18:I40</xm:f>
              <xm:sqref>L18</xm:sqref>
            </x14:sparkline>
            <x14:sparkline>
              <xm:f>Charts!I19:I41</xm:f>
              <xm:sqref>L19</xm:sqref>
            </x14:sparkline>
            <x14:sparkline>
              <xm:f>Charts!I20:I42</xm:f>
              <xm:sqref>L20</xm:sqref>
            </x14:sparkline>
            <x14:sparkline>
              <xm:f>Charts!I21:I43</xm:f>
              <xm:sqref>L21</xm:sqref>
            </x14:sparkline>
            <x14:sparkline>
              <xm:f>Charts!I22:I44</xm:f>
              <xm:sqref>L22</xm:sqref>
            </x14:sparkline>
            <x14:sparkline>
              <xm:f>Charts!I23:I45</xm:f>
              <xm:sqref>L23</xm:sqref>
            </x14:sparkline>
            <x14:sparkline>
              <xm:f>Charts!I24:I46</xm:f>
              <xm:sqref>L24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52A9-535F-4074-8DAF-D5F36B043364}">
  <dimension ref="A1:E15"/>
  <sheetViews>
    <sheetView workbookViewId="0"/>
  </sheetViews>
  <sheetFormatPr defaultRowHeight="14.4" x14ac:dyDescent="0.3"/>
  <cols>
    <col min="1" max="1" width="10.33203125" bestFit="1" customWidth="1"/>
    <col min="2" max="2" width="16" customWidth="1"/>
    <col min="3" max="3" width="24.33203125" customWidth="1"/>
    <col min="4" max="4" width="38.44140625" customWidth="1"/>
    <col min="5" max="5" width="38.5546875" customWidth="1"/>
  </cols>
  <sheetData>
    <row r="1" spans="1:5" x14ac:dyDescent="0.3">
      <c r="A1" t="s">
        <v>107</v>
      </c>
      <c r="B1" t="s">
        <v>139</v>
      </c>
      <c r="C1" t="s">
        <v>140</v>
      </c>
      <c r="D1" t="s">
        <v>141</v>
      </c>
      <c r="E1" t="s">
        <v>142</v>
      </c>
    </row>
    <row r="2" spans="1:5" x14ac:dyDescent="0.3">
      <c r="A2" s="1">
        <v>45324</v>
      </c>
      <c r="B2" s="67">
        <v>10020</v>
      </c>
    </row>
    <row r="3" spans="1:5" x14ac:dyDescent="0.3">
      <c r="A3" s="1">
        <v>45353</v>
      </c>
      <c r="B3" s="67">
        <v>22001</v>
      </c>
    </row>
    <row r="4" spans="1:5" x14ac:dyDescent="0.3">
      <c r="A4" s="1">
        <v>45384</v>
      </c>
      <c r="B4" s="67">
        <v>30023</v>
      </c>
    </row>
    <row r="5" spans="1:5" x14ac:dyDescent="0.3">
      <c r="A5" s="1">
        <v>45414</v>
      </c>
      <c r="B5" s="67">
        <v>32001</v>
      </c>
    </row>
    <row r="6" spans="1:5" x14ac:dyDescent="0.3">
      <c r="A6" s="1">
        <v>45445</v>
      </c>
      <c r="B6" s="67">
        <v>35423</v>
      </c>
    </row>
    <row r="7" spans="1:5" x14ac:dyDescent="0.3">
      <c r="A7" s="1">
        <v>45475</v>
      </c>
      <c r="B7" s="67">
        <v>34534</v>
      </c>
    </row>
    <row r="8" spans="1:5" x14ac:dyDescent="0.3">
      <c r="A8" s="1">
        <v>45506</v>
      </c>
      <c r="B8" s="67">
        <v>23234</v>
      </c>
    </row>
    <row r="9" spans="1:5" x14ac:dyDescent="0.3">
      <c r="A9" s="1">
        <v>45537</v>
      </c>
      <c r="B9" s="67">
        <v>56788</v>
      </c>
    </row>
    <row r="10" spans="1:5" x14ac:dyDescent="0.3">
      <c r="A10" s="1">
        <v>45567</v>
      </c>
      <c r="B10" s="67">
        <v>56789</v>
      </c>
    </row>
    <row r="11" spans="1:5" x14ac:dyDescent="0.3">
      <c r="A11" s="1">
        <v>45598</v>
      </c>
      <c r="B11" s="67">
        <v>65789</v>
      </c>
    </row>
    <row r="12" spans="1:5" x14ac:dyDescent="0.3">
      <c r="A12" s="1">
        <v>45628</v>
      </c>
      <c r="B12" s="67">
        <v>67943</v>
      </c>
    </row>
    <row r="13" spans="1:5" x14ac:dyDescent="0.3">
      <c r="A13" s="1">
        <v>45659</v>
      </c>
      <c r="B13" s="67">
        <v>70898</v>
      </c>
    </row>
    <row r="14" spans="1:5" x14ac:dyDescent="0.3">
      <c r="A14" s="1">
        <v>45690</v>
      </c>
      <c r="B14" s="67">
        <v>34234</v>
      </c>
      <c r="C14" s="67">
        <v>34234</v>
      </c>
      <c r="D14" s="67">
        <v>34234</v>
      </c>
      <c r="E14" s="67">
        <v>34234</v>
      </c>
    </row>
    <row r="15" spans="1:5" x14ac:dyDescent="0.3">
      <c r="A15" s="1">
        <v>45718</v>
      </c>
      <c r="C15" s="67">
        <f>_xlfn.FORECAST.ETS(A15,$B$2:$B$14,$A$2:$A$14,1,1)</f>
        <v>66181.948517937504</v>
      </c>
      <c r="D15" s="67">
        <f>C15-_xlfn.FORECAST.ETS.CONFINT(A15,$B$2:$B$14,$A$2:$A$14,0.95,1,1)</f>
        <v>39126.292620501423</v>
      </c>
      <c r="E15" s="67">
        <f>C15+_xlfn.FORECAST.ETS.CONFINT(A15,$B$2:$B$14,$A$2:$A$14,0.95,1,1)</f>
        <v>93237.604415373586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D9CD-A4AC-4832-B59E-669ECBD70D94}">
  <dimension ref="A1:E18"/>
  <sheetViews>
    <sheetView workbookViewId="0"/>
  </sheetViews>
  <sheetFormatPr defaultRowHeight="14.4" x14ac:dyDescent="0.3"/>
  <cols>
    <col min="1" max="1" width="10.33203125" bestFit="1" customWidth="1"/>
    <col min="2" max="2" width="16" customWidth="1"/>
    <col min="3" max="3" width="24.33203125" customWidth="1"/>
    <col min="4" max="4" width="38.44140625" customWidth="1"/>
    <col min="5" max="5" width="38.5546875" customWidth="1"/>
  </cols>
  <sheetData>
    <row r="1" spans="1:5" x14ac:dyDescent="0.3">
      <c r="A1" t="s">
        <v>107</v>
      </c>
      <c r="B1" t="s">
        <v>139</v>
      </c>
      <c r="C1" t="s">
        <v>140</v>
      </c>
      <c r="D1" t="s">
        <v>141</v>
      </c>
      <c r="E1" t="s">
        <v>142</v>
      </c>
    </row>
    <row r="2" spans="1:5" x14ac:dyDescent="0.3">
      <c r="A2" s="1">
        <v>45324</v>
      </c>
      <c r="B2" s="67">
        <v>10020</v>
      </c>
    </row>
    <row r="3" spans="1:5" x14ac:dyDescent="0.3">
      <c r="A3" s="1">
        <v>45353</v>
      </c>
      <c r="B3" s="67">
        <v>22001</v>
      </c>
    </row>
    <row r="4" spans="1:5" x14ac:dyDescent="0.3">
      <c r="A4" s="1">
        <v>45384</v>
      </c>
      <c r="B4" s="67">
        <v>30023</v>
      </c>
    </row>
    <row r="5" spans="1:5" x14ac:dyDescent="0.3">
      <c r="A5" s="1">
        <v>45414</v>
      </c>
      <c r="B5" s="67">
        <v>32001</v>
      </c>
    </row>
    <row r="6" spans="1:5" x14ac:dyDescent="0.3">
      <c r="A6" s="1">
        <v>45445</v>
      </c>
      <c r="B6" s="67">
        <v>35423</v>
      </c>
    </row>
    <row r="7" spans="1:5" x14ac:dyDescent="0.3">
      <c r="A7" s="1">
        <v>45475</v>
      </c>
      <c r="B7" s="67">
        <v>34534</v>
      </c>
    </row>
    <row r="8" spans="1:5" x14ac:dyDescent="0.3">
      <c r="A8" s="1">
        <v>45506</v>
      </c>
      <c r="B8" s="67">
        <v>23234</v>
      </c>
    </row>
    <row r="9" spans="1:5" x14ac:dyDescent="0.3">
      <c r="A9" s="1">
        <v>45537</v>
      </c>
      <c r="B9" s="67">
        <v>56788</v>
      </c>
    </row>
    <row r="10" spans="1:5" x14ac:dyDescent="0.3">
      <c r="A10" s="1">
        <v>45567</v>
      </c>
      <c r="B10" s="67">
        <v>56789</v>
      </c>
    </row>
    <row r="11" spans="1:5" x14ac:dyDescent="0.3">
      <c r="A11" s="1">
        <v>45598</v>
      </c>
      <c r="B11" s="67">
        <v>65789</v>
      </c>
    </row>
    <row r="12" spans="1:5" x14ac:dyDescent="0.3">
      <c r="A12" s="1">
        <v>45628</v>
      </c>
      <c r="B12" s="67">
        <v>67943</v>
      </c>
    </row>
    <row r="13" spans="1:5" x14ac:dyDescent="0.3">
      <c r="A13" s="1">
        <v>45659</v>
      </c>
      <c r="B13" s="67">
        <v>70898</v>
      </c>
    </row>
    <row r="14" spans="1:5" x14ac:dyDescent="0.3">
      <c r="A14" s="1">
        <v>45690</v>
      </c>
      <c r="B14" s="67">
        <v>34234</v>
      </c>
      <c r="C14" s="67">
        <v>34234</v>
      </c>
      <c r="D14" s="67">
        <v>34234</v>
      </c>
      <c r="E14" s="67">
        <v>34234</v>
      </c>
    </row>
    <row r="15" spans="1:5" x14ac:dyDescent="0.3">
      <c r="A15" s="1">
        <v>45718</v>
      </c>
      <c r="C15" s="67">
        <f>_xlfn.FORECAST.ETS(A15,$B$2:$B$14,$A$2:$A$14,1,1)</f>
        <v>66181.948517937504</v>
      </c>
      <c r="D15" s="67">
        <f>C15-_xlfn.FORECAST.ETS.CONFINT(A15,$B$2:$B$14,$A$2:$A$14,0.95,1,1)</f>
        <v>39126.292620501423</v>
      </c>
      <c r="E15" s="67">
        <f>C15+_xlfn.FORECAST.ETS.CONFINT(A15,$B$2:$B$14,$A$2:$A$14,0.95,1,1)</f>
        <v>93237.604415373586</v>
      </c>
    </row>
    <row r="16" spans="1:5" x14ac:dyDescent="0.3">
      <c r="A16" s="1">
        <v>45749</v>
      </c>
      <c r="C16" s="67">
        <f>_xlfn.FORECAST.ETS(A16,$B$2:$B$14,$A$2:$A$14,1,1)</f>
        <v>70091.952730737423</v>
      </c>
      <c r="D16" s="67">
        <f>C16-_xlfn.FORECAST.ETS.CONFINT(A16,$B$2:$B$14,$A$2:$A$14,0.95,1,1)</f>
        <v>42197.046662432891</v>
      </c>
      <c r="E16" s="67">
        <f>C16+_xlfn.FORECAST.ETS.CONFINT(A16,$B$2:$B$14,$A$2:$A$14,0.95,1,1)</f>
        <v>97986.858799041947</v>
      </c>
    </row>
    <row r="17" spans="1:5" x14ac:dyDescent="0.3">
      <c r="A17" s="1">
        <v>45779</v>
      </c>
      <c r="C17" s="67">
        <f>_xlfn.FORECAST.ETS(A17,$B$2:$B$14,$A$2:$A$14,1,1)</f>
        <v>74001.9569435374</v>
      </c>
      <c r="D17" s="67">
        <f>C17-_xlfn.FORECAST.ETS.CONFINT(A17,$B$2:$B$14,$A$2:$A$14,0.95,1,1)</f>
        <v>45285.911718573581</v>
      </c>
      <c r="E17" s="67">
        <f>C17+_xlfn.FORECAST.ETS.CONFINT(A17,$B$2:$B$14,$A$2:$A$14,0.95,1,1)</f>
        <v>102718.00216850122</v>
      </c>
    </row>
    <row r="18" spans="1:5" x14ac:dyDescent="0.3">
      <c r="A18" s="1">
        <v>45810</v>
      </c>
      <c r="C18" s="67">
        <f>_xlfn.FORECAST.ETS(A18,$B$2:$B$14,$A$2:$A$14,1,1)</f>
        <v>77911.961156337318</v>
      </c>
      <c r="D18" s="67">
        <f>C18-_xlfn.FORECAST.ETS.CONFINT(A18,$B$2:$B$14,$A$2:$A$14,0.95,1,1)</f>
        <v>48391.351635776919</v>
      </c>
      <c r="E18" s="67">
        <f>C18+_xlfn.FORECAST.ETS.CONFINT(A18,$B$2:$B$14,$A$2:$A$14,0.95,1,1)</f>
        <v>107432.57067689771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6CCE-D715-4823-A0CA-2125A2F6FBEF}">
  <dimension ref="A2:R38"/>
  <sheetViews>
    <sheetView topLeftCell="B1" workbookViewId="0">
      <selection activeCell="R39" sqref="R39"/>
    </sheetView>
  </sheetViews>
  <sheetFormatPr defaultRowHeight="14.4" x14ac:dyDescent="0.3"/>
  <cols>
    <col min="1" max="1" width="10.44140625" bestFit="1" customWidth="1"/>
    <col min="2" max="2" width="18.44140625" style="38" bestFit="1" customWidth="1"/>
  </cols>
  <sheetData>
    <row r="2" spans="1:18" ht="18" x14ac:dyDescent="0.35">
      <c r="A2" s="36" t="s">
        <v>107</v>
      </c>
      <c r="B2" s="37" t="s">
        <v>108</v>
      </c>
    </row>
    <row r="3" spans="1:18" x14ac:dyDescent="0.3">
      <c r="A3" s="1">
        <v>45324</v>
      </c>
      <c r="B3" s="38">
        <v>10020</v>
      </c>
      <c r="D3" s="39">
        <v>1</v>
      </c>
      <c r="E3" s="39" t="s">
        <v>109</v>
      </c>
      <c r="F3" s="39"/>
      <c r="G3" s="39"/>
      <c r="H3" s="39"/>
      <c r="I3" s="39"/>
      <c r="J3" s="39"/>
      <c r="K3" s="39"/>
      <c r="L3" s="39"/>
      <c r="N3" s="39">
        <v>1.2</v>
      </c>
      <c r="O3" s="39" t="s">
        <v>111</v>
      </c>
      <c r="P3" s="39"/>
      <c r="Q3" s="39"/>
      <c r="R3" s="39"/>
    </row>
    <row r="4" spans="1:18" x14ac:dyDescent="0.3">
      <c r="A4" s="1">
        <v>45353</v>
      </c>
      <c r="B4" s="38">
        <v>22001</v>
      </c>
    </row>
    <row r="5" spans="1:18" x14ac:dyDescent="0.3">
      <c r="A5" s="1">
        <v>45384</v>
      </c>
      <c r="B5" s="38">
        <v>30023</v>
      </c>
    </row>
    <row r="6" spans="1:18" x14ac:dyDescent="0.3">
      <c r="A6" s="1">
        <v>45414</v>
      </c>
      <c r="B6" s="38">
        <v>32001</v>
      </c>
    </row>
    <row r="7" spans="1:18" x14ac:dyDescent="0.3">
      <c r="A7" s="1">
        <v>45445</v>
      </c>
      <c r="B7" s="38">
        <v>35423</v>
      </c>
    </row>
    <row r="8" spans="1:18" x14ac:dyDescent="0.3">
      <c r="A8" s="1">
        <v>45475</v>
      </c>
      <c r="B8" s="38">
        <v>34534</v>
      </c>
    </row>
    <row r="9" spans="1:18" x14ac:dyDescent="0.3">
      <c r="A9" s="1">
        <v>45506</v>
      </c>
      <c r="B9" s="38">
        <v>23234</v>
      </c>
    </row>
    <row r="10" spans="1:18" x14ac:dyDescent="0.3">
      <c r="A10" s="1">
        <v>45537</v>
      </c>
      <c r="B10" s="38">
        <v>56788</v>
      </c>
    </row>
    <row r="11" spans="1:18" x14ac:dyDescent="0.3">
      <c r="A11" s="1">
        <v>45567</v>
      </c>
      <c r="B11" s="38">
        <v>56789</v>
      </c>
    </row>
    <row r="12" spans="1:18" x14ac:dyDescent="0.3">
      <c r="A12" s="1">
        <v>45598</v>
      </c>
      <c r="B12" s="38">
        <v>65789</v>
      </c>
    </row>
    <row r="13" spans="1:18" x14ac:dyDescent="0.3">
      <c r="A13" s="1">
        <v>45628</v>
      </c>
      <c r="B13" s="38">
        <v>67943</v>
      </c>
    </row>
    <row r="14" spans="1:18" x14ac:dyDescent="0.3">
      <c r="A14" s="1">
        <v>45659</v>
      </c>
      <c r="B14" s="38">
        <v>70898</v>
      </c>
    </row>
    <row r="15" spans="1:18" x14ac:dyDescent="0.3">
      <c r="A15" s="1">
        <v>45690</v>
      </c>
      <c r="B15" s="38">
        <v>34234</v>
      </c>
    </row>
    <row r="16" spans="1:18" x14ac:dyDescent="0.3">
      <c r="A16" s="1">
        <v>45718</v>
      </c>
    </row>
    <row r="19" spans="1:18" ht="18" x14ac:dyDescent="0.35">
      <c r="A19" s="36" t="s">
        <v>107</v>
      </c>
      <c r="B19" s="37" t="s">
        <v>108</v>
      </c>
    </row>
    <row r="20" spans="1:18" x14ac:dyDescent="0.3">
      <c r="A20" s="1">
        <v>45324</v>
      </c>
      <c r="B20" s="38">
        <v>10020</v>
      </c>
    </row>
    <row r="21" spans="1:18" x14ac:dyDescent="0.3">
      <c r="A21" s="1">
        <v>45353</v>
      </c>
      <c r="B21" s="38">
        <v>22001</v>
      </c>
    </row>
    <row r="22" spans="1:18" x14ac:dyDescent="0.3">
      <c r="A22" s="1">
        <v>45384</v>
      </c>
      <c r="B22" s="38">
        <v>30023</v>
      </c>
      <c r="D22" s="39">
        <v>2</v>
      </c>
      <c r="E22" s="39" t="s">
        <v>110</v>
      </c>
      <c r="F22" s="39"/>
      <c r="G22" s="39"/>
      <c r="H22" s="39"/>
      <c r="I22" s="39"/>
      <c r="J22" s="39"/>
      <c r="K22" s="39"/>
      <c r="L22" s="39"/>
      <c r="N22" s="39">
        <v>2.2000000000000002</v>
      </c>
      <c r="O22" s="39" t="s">
        <v>111</v>
      </c>
      <c r="P22" s="39"/>
      <c r="Q22" s="39"/>
      <c r="R22" s="39"/>
    </row>
    <row r="23" spans="1:18" x14ac:dyDescent="0.3">
      <c r="A23" s="1">
        <v>45414</v>
      </c>
      <c r="B23" s="38">
        <v>32001</v>
      </c>
    </row>
    <row r="24" spans="1:18" x14ac:dyDescent="0.3">
      <c r="A24" s="1">
        <v>45445</v>
      </c>
      <c r="B24" s="38">
        <v>35423</v>
      </c>
    </row>
    <row r="25" spans="1:18" x14ac:dyDescent="0.3">
      <c r="A25" s="1">
        <v>45475</v>
      </c>
      <c r="B25" s="38">
        <v>34534</v>
      </c>
    </row>
    <row r="26" spans="1:18" x14ac:dyDescent="0.3">
      <c r="A26" s="1">
        <v>45506</v>
      </c>
      <c r="B26" s="38">
        <v>23234</v>
      </c>
    </row>
    <row r="27" spans="1:18" x14ac:dyDescent="0.3">
      <c r="A27" s="1">
        <v>45537</v>
      </c>
      <c r="B27" s="38">
        <v>56788</v>
      </c>
    </row>
    <row r="28" spans="1:18" x14ac:dyDescent="0.3">
      <c r="A28" s="1">
        <v>45567</v>
      </c>
      <c r="B28" s="38">
        <v>56789</v>
      </c>
    </row>
    <row r="29" spans="1:18" x14ac:dyDescent="0.3">
      <c r="A29" s="1">
        <v>45598</v>
      </c>
      <c r="B29" s="38">
        <v>65789</v>
      </c>
    </row>
    <row r="30" spans="1:18" x14ac:dyDescent="0.3">
      <c r="A30" s="1">
        <v>45628</v>
      </c>
      <c r="B30" s="38">
        <v>67943</v>
      </c>
    </row>
    <row r="31" spans="1:18" x14ac:dyDescent="0.3">
      <c r="A31" s="1">
        <v>45659</v>
      </c>
      <c r="B31" s="38">
        <v>70898</v>
      </c>
    </row>
    <row r="32" spans="1:18" x14ac:dyDescent="0.3">
      <c r="A32" s="1">
        <v>45690</v>
      </c>
      <c r="B32" s="38">
        <v>34234</v>
      </c>
    </row>
    <row r="33" spans="1:1" x14ac:dyDescent="0.3">
      <c r="A33" s="1">
        <v>45718</v>
      </c>
    </row>
    <row r="34" spans="1:1" x14ac:dyDescent="0.3">
      <c r="A34" s="1">
        <v>45749</v>
      </c>
    </row>
    <row r="35" spans="1:1" x14ac:dyDescent="0.3">
      <c r="A35" s="1">
        <v>45779</v>
      </c>
    </row>
    <row r="36" spans="1:1" x14ac:dyDescent="0.3">
      <c r="A36" s="1">
        <v>45810</v>
      </c>
    </row>
    <row r="37" spans="1:1" x14ac:dyDescent="0.3">
      <c r="A37" s="1">
        <v>45840</v>
      </c>
    </row>
    <row r="38" spans="1:1" x14ac:dyDescent="0.3">
      <c r="A38" s="1">
        <v>45871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B51E-2331-418B-AC4B-125BC3228052}">
  <dimension ref="A1:Z1005"/>
  <sheetViews>
    <sheetView workbookViewId="0">
      <selection activeCell="E16" sqref="E16"/>
    </sheetView>
  </sheetViews>
  <sheetFormatPr defaultColWidth="14.44140625" defaultRowHeight="14.4" x14ac:dyDescent="0.3"/>
  <cols>
    <col min="1" max="1" width="22.109375" customWidth="1"/>
    <col min="2" max="2" width="17.109375" customWidth="1"/>
    <col min="3" max="4" width="8.88671875" customWidth="1"/>
    <col min="5" max="5" width="84.109375" bestFit="1" customWidth="1"/>
    <col min="6" max="6" width="9.88671875" bestFit="1" customWidth="1"/>
    <col min="7" max="12" width="8.6640625" customWidth="1"/>
    <col min="13" max="13" width="13.44140625" customWidth="1"/>
    <col min="14" max="26" width="8.6640625" customWidth="1"/>
  </cols>
  <sheetData>
    <row r="1" spans="1:26" ht="23.25" customHeight="1" x14ac:dyDescent="0.45">
      <c r="A1" s="65" t="s">
        <v>79</v>
      </c>
      <c r="B1" s="66"/>
      <c r="C1" s="8"/>
      <c r="D1" s="24" t="s">
        <v>97</v>
      </c>
      <c r="E1" s="24"/>
      <c r="F1" s="24"/>
      <c r="G1" s="24"/>
      <c r="H1" s="24"/>
      <c r="I1" s="24"/>
      <c r="J1" s="24"/>
      <c r="K1" s="24"/>
      <c r="L1" s="24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3.25" customHeight="1" x14ac:dyDescent="0.4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3.25" customHeight="1" x14ac:dyDescent="0.45">
      <c r="A3" s="8" t="s">
        <v>93</v>
      </c>
      <c r="B3" s="9">
        <v>3.5000000000000003E-2</v>
      </c>
      <c r="C3" s="8"/>
      <c r="D3" s="23">
        <v>1</v>
      </c>
      <c r="E3" s="23" t="s">
        <v>99</v>
      </c>
      <c r="F3" s="23"/>
      <c r="G3" s="23"/>
      <c r="H3" s="23"/>
      <c r="I3" s="23"/>
      <c r="J3" s="23"/>
      <c r="K3" s="23"/>
      <c r="L3" s="23"/>
      <c r="M3" s="23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3.25" customHeight="1" x14ac:dyDescent="0.45">
      <c r="A4" s="8" t="s">
        <v>80</v>
      </c>
      <c r="B4" s="8">
        <v>60</v>
      </c>
      <c r="C4" s="8"/>
      <c r="D4" s="23" t="s">
        <v>98</v>
      </c>
      <c r="E4" s="68">
        <v>9.1499999999999998E-2</v>
      </c>
      <c r="F4" s="23"/>
      <c r="G4" s="23"/>
      <c r="H4" s="23"/>
      <c r="I4" s="23"/>
      <c r="J4" s="23"/>
      <c r="K4" s="23"/>
      <c r="L4" s="23"/>
      <c r="M4" s="23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3.25" customHeight="1" thickBot="1" x14ac:dyDescent="0.5">
      <c r="A5" s="8" t="s">
        <v>81</v>
      </c>
      <c r="B5" s="10">
        <v>24000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3.25" customHeight="1" thickBot="1" x14ac:dyDescent="0.5">
      <c r="A6" s="8" t="s">
        <v>82</v>
      </c>
      <c r="B6" s="11">
        <f>PMT(B3/12,B4,-B5)</f>
        <v>436.60187928615358</v>
      </c>
      <c r="C6" s="8"/>
      <c r="D6" s="23">
        <v>2</v>
      </c>
      <c r="E6" s="23" t="s">
        <v>96</v>
      </c>
      <c r="F6" s="23"/>
      <c r="G6" s="23"/>
      <c r="H6" s="23"/>
      <c r="I6" s="23"/>
      <c r="J6" s="23"/>
      <c r="K6" s="23"/>
      <c r="L6" s="23"/>
      <c r="M6" s="23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3.25" customHeight="1" x14ac:dyDescent="0.45">
      <c r="A7" s="8"/>
      <c r="B7" s="8"/>
      <c r="C7" s="8"/>
      <c r="D7" s="23" t="s">
        <v>98</v>
      </c>
      <c r="E7" s="68">
        <v>0.17269999999999999</v>
      </c>
      <c r="F7" s="23"/>
      <c r="G7" s="23"/>
      <c r="H7" s="23"/>
      <c r="I7" s="23"/>
      <c r="J7" s="23"/>
      <c r="K7" s="23"/>
      <c r="L7" s="23"/>
      <c r="M7" s="23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3.25" customHeight="1" x14ac:dyDescent="0.4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3.25" customHeight="1" x14ac:dyDescent="0.45">
      <c r="A9" s="8"/>
      <c r="B9" s="8"/>
      <c r="C9" s="8"/>
      <c r="D9" s="23">
        <v>3</v>
      </c>
      <c r="E9" s="23" t="s">
        <v>94</v>
      </c>
      <c r="F9" s="23"/>
      <c r="G9" s="23"/>
      <c r="H9" s="23"/>
      <c r="I9" s="23"/>
      <c r="J9" s="23"/>
      <c r="K9" s="23"/>
      <c r="L9" s="23"/>
      <c r="M9" s="23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6" ht="23.25" customHeight="1" x14ac:dyDescent="0.45">
      <c r="A10" s="8"/>
      <c r="B10" s="8"/>
      <c r="C10" s="8"/>
      <c r="D10" s="23" t="s">
        <v>98</v>
      </c>
      <c r="E10" s="23">
        <v>42</v>
      </c>
      <c r="F10" s="23"/>
      <c r="G10" s="23"/>
      <c r="H10" s="23"/>
      <c r="I10" s="23"/>
      <c r="J10" s="23"/>
      <c r="K10" s="23"/>
      <c r="L10" s="23"/>
      <c r="M10" s="23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6" ht="23.25" customHeight="1" x14ac:dyDescent="0.4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6" ht="23.25" customHeight="1" x14ac:dyDescent="0.45">
      <c r="A12" s="8"/>
      <c r="B12" s="8"/>
      <c r="C12" s="8"/>
      <c r="D12" s="23">
        <v>4</v>
      </c>
      <c r="E12" s="23" t="s">
        <v>95</v>
      </c>
      <c r="F12" s="23"/>
      <c r="G12" s="23"/>
      <c r="H12" s="23"/>
      <c r="I12" s="23"/>
      <c r="J12" s="23"/>
      <c r="K12" s="23"/>
      <c r="L12" s="23"/>
      <c r="M12" s="23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6" ht="23.25" customHeight="1" x14ac:dyDescent="0.45">
      <c r="A13" s="8"/>
      <c r="B13" s="8"/>
      <c r="C13" s="8"/>
      <c r="D13" s="23" t="s">
        <v>98</v>
      </c>
      <c r="E13" s="23">
        <v>91</v>
      </c>
      <c r="F13" s="23"/>
      <c r="G13" s="23"/>
      <c r="H13" s="23"/>
      <c r="I13" s="23"/>
      <c r="J13" s="23"/>
      <c r="K13" s="23"/>
      <c r="L13" s="23"/>
      <c r="M13" s="23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6" ht="23.25" customHeight="1" x14ac:dyDescent="0.45">
      <c r="A14" s="8"/>
      <c r="B14" s="8"/>
      <c r="C14" s="8"/>
      <c r="D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3.25" customHeight="1" x14ac:dyDescent="0.4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3.25" customHeight="1" x14ac:dyDescent="0.4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3.25" customHeight="1" x14ac:dyDescent="0.4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23.25" customHeight="1" x14ac:dyDescent="0.4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23.25" customHeight="1" x14ac:dyDescent="0.4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23.25" customHeight="1" x14ac:dyDescent="0.4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23.25" customHeight="1" x14ac:dyDescent="0.4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23.25" customHeight="1" x14ac:dyDescent="0.4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23.25" customHeight="1" x14ac:dyDescent="0.4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23.25" customHeight="1" x14ac:dyDescent="0.4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23.25" customHeight="1" x14ac:dyDescent="0.4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23.25" customHeight="1" x14ac:dyDescent="0.4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23.25" customHeight="1" x14ac:dyDescent="0.4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23.25" customHeight="1" x14ac:dyDescent="0.4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3.25" customHeight="1" x14ac:dyDescent="0.4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23.25" customHeight="1" x14ac:dyDescent="0.4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23.25" customHeight="1" x14ac:dyDescent="0.4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23.25" customHeight="1" x14ac:dyDescent="0.4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23.25" customHeight="1" x14ac:dyDescent="0.4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23.25" customHeight="1" x14ac:dyDescent="0.4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23.25" customHeight="1" x14ac:dyDescent="0.4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23.25" customHeight="1" x14ac:dyDescent="0.4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23.25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23.25" customHeight="1" x14ac:dyDescent="0.4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23.25" customHeight="1" x14ac:dyDescent="0.4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23.25" customHeight="1" x14ac:dyDescent="0.4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23.25" customHeight="1" x14ac:dyDescent="0.4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23.25" customHeight="1" x14ac:dyDescent="0.4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23.25" customHeight="1" x14ac:dyDescent="0.4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23.25" customHeight="1" x14ac:dyDescent="0.4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23.25" customHeight="1" x14ac:dyDescent="0.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23.25" customHeight="1" x14ac:dyDescent="0.4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23.25" customHeight="1" x14ac:dyDescent="0.4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23.25" customHeight="1" x14ac:dyDescent="0.4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23.25" customHeight="1" x14ac:dyDescent="0.4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23.25" customHeight="1" x14ac:dyDescent="0.4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23.25" customHeight="1" x14ac:dyDescent="0.4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23.25" customHeight="1" x14ac:dyDescent="0.4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23.25" customHeight="1" x14ac:dyDescent="0.4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23.25" customHeight="1" x14ac:dyDescent="0.4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23.25" customHeight="1" x14ac:dyDescent="0.4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23.25" customHeight="1" x14ac:dyDescent="0.4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23.25" customHeight="1" x14ac:dyDescent="0.4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23.25" customHeight="1" x14ac:dyDescent="0.4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23.25" customHeight="1" x14ac:dyDescent="0.4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23.25" customHeight="1" x14ac:dyDescent="0.4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23.25" customHeight="1" x14ac:dyDescent="0.4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23.25" customHeight="1" x14ac:dyDescent="0.4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23.25" customHeight="1" x14ac:dyDescent="0.4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23.25" customHeight="1" x14ac:dyDescent="0.4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23.25" customHeight="1" x14ac:dyDescent="0.4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23.25" customHeight="1" x14ac:dyDescent="0.4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23.25" customHeight="1" x14ac:dyDescent="0.4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23.25" customHeight="1" x14ac:dyDescent="0.4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23.25" customHeight="1" x14ac:dyDescent="0.4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23.25" customHeight="1" x14ac:dyDescent="0.4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23.25" customHeight="1" x14ac:dyDescent="0.4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23.25" customHeight="1" x14ac:dyDescent="0.4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23.25" customHeight="1" x14ac:dyDescent="0.4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23.25" customHeight="1" x14ac:dyDescent="0.4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23.25" customHeight="1" x14ac:dyDescent="0.4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23.25" customHeight="1" x14ac:dyDescent="0.4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23.25" customHeight="1" x14ac:dyDescent="0.4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23.25" customHeight="1" x14ac:dyDescent="0.4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23.25" customHeight="1" x14ac:dyDescent="0.4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23.25" customHeight="1" x14ac:dyDescent="0.4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23.25" customHeight="1" x14ac:dyDescent="0.4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23.25" customHeight="1" x14ac:dyDescent="0.4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23.25" customHeight="1" x14ac:dyDescent="0.4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23.25" customHeight="1" x14ac:dyDescent="0.4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23.25" customHeight="1" x14ac:dyDescent="0.4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23.25" customHeight="1" x14ac:dyDescent="0.4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23.25" customHeight="1" x14ac:dyDescent="0.4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23.25" customHeight="1" x14ac:dyDescent="0.4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23.25" customHeight="1" x14ac:dyDescent="0.4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23.25" customHeight="1" x14ac:dyDescent="0.4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23.25" customHeight="1" x14ac:dyDescent="0.4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23.25" customHeight="1" x14ac:dyDescent="0.4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23.25" customHeight="1" x14ac:dyDescent="0.4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23.25" customHeight="1" x14ac:dyDescent="0.4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23.25" customHeight="1" x14ac:dyDescent="0.4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23.25" customHeight="1" x14ac:dyDescent="0.4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23.25" customHeight="1" x14ac:dyDescent="0.4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23.25" customHeight="1" x14ac:dyDescent="0.4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23.25" customHeight="1" x14ac:dyDescent="0.4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23.25" customHeight="1" x14ac:dyDescent="0.4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23.25" customHeight="1" x14ac:dyDescent="0.4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23.25" customHeight="1" x14ac:dyDescent="0.4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23.25" customHeight="1" x14ac:dyDescent="0.4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23.25" customHeight="1" x14ac:dyDescent="0.4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23.25" customHeight="1" x14ac:dyDescent="0.4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23.25" customHeight="1" x14ac:dyDescent="0.4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23.25" customHeight="1" x14ac:dyDescent="0.4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23.25" customHeight="1" x14ac:dyDescent="0.4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23.25" customHeight="1" x14ac:dyDescent="0.4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23.25" customHeight="1" x14ac:dyDescent="0.4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23.25" customHeight="1" x14ac:dyDescent="0.4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23.25" customHeight="1" x14ac:dyDescent="0.4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23.25" customHeight="1" x14ac:dyDescent="0.4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23.25" customHeight="1" x14ac:dyDescent="0.4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23.25" customHeight="1" x14ac:dyDescent="0.4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23.25" customHeight="1" x14ac:dyDescent="0.4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23.25" customHeight="1" x14ac:dyDescent="0.4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23.25" customHeight="1" x14ac:dyDescent="0.4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23.25" customHeight="1" x14ac:dyDescent="0.4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23.25" customHeight="1" x14ac:dyDescent="0.4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23.25" customHeight="1" x14ac:dyDescent="0.4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23.25" customHeight="1" x14ac:dyDescent="0.4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23.25" customHeight="1" x14ac:dyDescent="0.4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23.25" customHeight="1" x14ac:dyDescent="0.4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23.25" customHeight="1" x14ac:dyDescent="0.4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23.25" customHeight="1" x14ac:dyDescent="0.4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23.25" customHeight="1" x14ac:dyDescent="0.4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23.25" customHeight="1" x14ac:dyDescent="0.4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23.25" customHeight="1" x14ac:dyDescent="0.4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23.25" customHeight="1" x14ac:dyDescent="0.4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23.25" customHeight="1" x14ac:dyDescent="0.4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23.25" customHeight="1" x14ac:dyDescent="0.4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23.25" customHeight="1" x14ac:dyDescent="0.4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23.25" customHeight="1" x14ac:dyDescent="0.4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23.25" customHeight="1" x14ac:dyDescent="0.4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23.25" customHeight="1" x14ac:dyDescent="0.4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23.25" customHeight="1" x14ac:dyDescent="0.4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23.25" customHeight="1" x14ac:dyDescent="0.4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23.25" customHeight="1" x14ac:dyDescent="0.4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23.25" customHeight="1" x14ac:dyDescent="0.4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23.25" customHeight="1" x14ac:dyDescent="0.4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23.25" customHeight="1" x14ac:dyDescent="0.4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23.25" customHeight="1" x14ac:dyDescent="0.4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23.25" customHeight="1" x14ac:dyDescent="0.4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23.25" customHeight="1" x14ac:dyDescent="0.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23.25" customHeight="1" x14ac:dyDescent="0.4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23.25" customHeight="1" x14ac:dyDescent="0.4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23.25" customHeight="1" x14ac:dyDescent="0.4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23.25" customHeight="1" x14ac:dyDescent="0.4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23.25" customHeight="1" x14ac:dyDescent="0.4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23.25" customHeight="1" x14ac:dyDescent="0.4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23.25" customHeight="1" x14ac:dyDescent="0.4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23.25" customHeight="1" x14ac:dyDescent="0.4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23.25" customHeight="1" x14ac:dyDescent="0.4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23.25" customHeight="1" x14ac:dyDescent="0.4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23.25" customHeight="1" x14ac:dyDescent="0.4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23.25" customHeight="1" x14ac:dyDescent="0.4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23.25" customHeight="1" x14ac:dyDescent="0.4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23.25" customHeight="1" x14ac:dyDescent="0.4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23.25" customHeight="1" x14ac:dyDescent="0.4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23.25" customHeight="1" x14ac:dyDescent="0.4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23.25" customHeight="1" x14ac:dyDescent="0.4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23.25" customHeight="1" x14ac:dyDescent="0.4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23.25" customHeight="1" x14ac:dyDescent="0.4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23.25" customHeight="1" x14ac:dyDescent="0.4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23.25" customHeight="1" x14ac:dyDescent="0.4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23.25" customHeight="1" x14ac:dyDescent="0.4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23.25" customHeight="1" x14ac:dyDescent="0.4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23.25" customHeight="1" x14ac:dyDescent="0.4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23.25" customHeight="1" x14ac:dyDescent="0.4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23.25" customHeight="1" x14ac:dyDescent="0.4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23.25" customHeight="1" x14ac:dyDescent="0.4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23.25" customHeight="1" x14ac:dyDescent="0.4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23.25" customHeight="1" x14ac:dyDescent="0.4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23.25" customHeight="1" x14ac:dyDescent="0.4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23.25" customHeight="1" x14ac:dyDescent="0.4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23.25" customHeight="1" x14ac:dyDescent="0.4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23.25" customHeight="1" x14ac:dyDescent="0.4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23.25" customHeight="1" x14ac:dyDescent="0.4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23.25" customHeight="1" x14ac:dyDescent="0.4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23.25" customHeight="1" x14ac:dyDescent="0.4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23.25" customHeight="1" x14ac:dyDescent="0.4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23.25" customHeight="1" x14ac:dyDescent="0.4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23.25" customHeight="1" x14ac:dyDescent="0.4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23.25" customHeight="1" x14ac:dyDescent="0.4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23.25" customHeight="1" x14ac:dyDescent="0.4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23.25" customHeight="1" x14ac:dyDescent="0.4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23.25" customHeight="1" x14ac:dyDescent="0.4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23.25" customHeight="1" x14ac:dyDescent="0.4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23.25" customHeight="1" x14ac:dyDescent="0.4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23.25" customHeight="1" x14ac:dyDescent="0.4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23.25" customHeight="1" x14ac:dyDescent="0.4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23.25" customHeight="1" x14ac:dyDescent="0.4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23.25" customHeight="1" x14ac:dyDescent="0.4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23.25" customHeight="1" x14ac:dyDescent="0.4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23.25" customHeight="1" x14ac:dyDescent="0.4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23.25" customHeight="1" x14ac:dyDescent="0.4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23.25" customHeight="1" x14ac:dyDescent="0.4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23.25" customHeight="1" x14ac:dyDescent="0.4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23.25" customHeight="1" x14ac:dyDescent="0.4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23.25" customHeight="1" x14ac:dyDescent="0.4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23.25" customHeight="1" x14ac:dyDescent="0.4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23.25" customHeight="1" x14ac:dyDescent="0.4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23.25" customHeight="1" x14ac:dyDescent="0.4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23.25" customHeight="1" x14ac:dyDescent="0.4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23.25" customHeight="1" x14ac:dyDescent="0.4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23.25" customHeight="1" x14ac:dyDescent="0.4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23.25" customHeight="1" x14ac:dyDescent="0.4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23.25" customHeight="1" x14ac:dyDescent="0.4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23.25" customHeight="1" x14ac:dyDescent="0.4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23.25" customHeight="1" x14ac:dyDescent="0.4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23.25" customHeight="1" x14ac:dyDescent="0.4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23.25" customHeight="1" x14ac:dyDescent="0.4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23.25" customHeight="1" x14ac:dyDescent="0.4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23.25" customHeight="1" x14ac:dyDescent="0.4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23.25" customHeight="1" x14ac:dyDescent="0.4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23.25" customHeight="1" x14ac:dyDescent="0.4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23.25" customHeight="1" x14ac:dyDescent="0.4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23.25" customHeight="1" x14ac:dyDescent="0.4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23.25" customHeight="1" x14ac:dyDescent="0.4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23.25" customHeight="1" x14ac:dyDescent="0.4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23.25" customHeight="1" x14ac:dyDescent="0.4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23.25" customHeight="1" x14ac:dyDescent="0.4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23.25" customHeight="1" x14ac:dyDescent="0.4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23.25" customHeight="1" x14ac:dyDescent="0.4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23.25" customHeight="1" x14ac:dyDescent="0.4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23.25" customHeight="1" x14ac:dyDescent="0.4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23.25" customHeight="1" x14ac:dyDescent="0.4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23.25" customHeight="1" x14ac:dyDescent="0.4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23.25" customHeight="1" x14ac:dyDescent="0.4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23.25" customHeight="1" x14ac:dyDescent="0.4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23.25" customHeight="1" x14ac:dyDescent="0.4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23.25" customHeight="1" x14ac:dyDescent="0.4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23.25" customHeight="1" x14ac:dyDescent="0.4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23.25" customHeight="1" x14ac:dyDescent="0.4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23.25" customHeight="1" x14ac:dyDescent="0.4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23.25" customHeight="1" x14ac:dyDescent="0.4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23.25" customHeight="1" x14ac:dyDescent="0.4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23.25" customHeight="1" x14ac:dyDescent="0.4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23.25" customHeight="1" x14ac:dyDescent="0.4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23.25" customHeight="1" x14ac:dyDescent="0.4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23.25" customHeight="1" x14ac:dyDescent="0.4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23.25" customHeight="1" x14ac:dyDescent="0.4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23.25" customHeight="1" x14ac:dyDescent="0.4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23.25" customHeight="1" x14ac:dyDescent="0.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23.25" customHeight="1" x14ac:dyDescent="0.4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23.25" customHeight="1" x14ac:dyDescent="0.4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23.25" customHeight="1" x14ac:dyDescent="0.4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23.25" customHeight="1" x14ac:dyDescent="0.4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23.25" customHeight="1" x14ac:dyDescent="0.4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23.25" customHeight="1" x14ac:dyDescent="0.4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23.25" customHeight="1" x14ac:dyDescent="0.4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23.25" customHeight="1" x14ac:dyDescent="0.4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23.25" customHeight="1" x14ac:dyDescent="0.4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23.25" customHeight="1" x14ac:dyDescent="0.4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23.25" customHeight="1" x14ac:dyDescent="0.4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23.25" customHeight="1" x14ac:dyDescent="0.4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23.25" customHeight="1" x14ac:dyDescent="0.4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23.25" customHeight="1" x14ac:dyDescent="0.4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23.25" customHeight="1" x14ac:dyDescent="0.4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23.25" customHeight="1" x14ac:dyDescent="0.4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23.25" customHeight="1" x14ac:dyDescent="0.4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23.25" customHeight="1" x14ac:dyDescent="0.4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23.25" customHeight="1" x14ac:dyDescent="0.4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23.25" customHeight="1" x14ac:dyDescent="0.4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23.25" customHeight="1" x14ac:dyDescent="0.4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23.25" customHeight="1" x14ac:dyDescent="0.4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23.25" customHeight="1" x14ac:dyDescent="0.4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23.25" customHeight="1" x14ac:dyDescent="0.4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23.25" customHeight="1" x14ac:dyDescent="0.4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23.25" customHeight="1" x14ac:dyDescent="0.4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23.25" customHeight="1" x14ac:dyDescent="0.4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23.25" customHeight="1" x14ac:dyDescent="0.4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23.25" customHeight="1" x14ac:dyDescent="0.4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23.25" customHeight="1" x14ac:dyDescent="0.4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23.25" customHeight="1" x14ac:dyDescent="0.4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23.25" customHeight="1" x14ac:dyDescent="0.4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23.25" customHeight="1" x14ac:dyDescent="0.4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23.25" customHeight="1" x14ac:dyDescent="0.4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23.25" customHeight="1" x14ac:dyDescent="0.4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23.25" customHeight="1" x14ac:dyDescent="0.4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23.25" customHeight="1" x14ac:dyDescent="0.4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23.25" customHeight="1" x14ac:dyDescent="0.4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23.25" customHeight="1" x14ac:dyDescent="0.4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23.25" customHeight="1" x14ac:dyDescent="0.4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23.25" customHeight="1" x14ac:dyDescent="0.4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23.25" customHeight="1" x14ac:dyDescent="0.4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23.25" customHeight="1" x14ac:dyDescent="0.4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23.25" customHeight="1" x14ac:dyDescent="0.4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23.25" customHeight="1" x14ac:dyDescent="0.4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23.25" customHeight="1" x14ac:dyDescent="0.4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23.25" customHeight="1" x14ac:dyDescent="0.4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23.25" customHeight="1" x14ac:dyDescent="0.4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23.25" customHeight="1" x14ac:dyDescent="0.4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23.25" customHeight="1" x14ac:dyDescent="0.4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23.25" customHeight="1" x14ac:dyDescent="0.4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23.25" customHeight="1" x14ac:dyDescent="0.4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23.25" customHeight="1" x14ac:dyDescent="0.4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23.25" customHeight="1" x14ac:dyDescent="0.4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23.25" customHeight="1" x14ac:dyDescent="0.4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23.25" customHeight="1" x14ac:dyDescent="0.4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23.25" customHeight="1" x14ac:dyDescent="0.4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23.25" customHeight="1" x14ac:dyDescent="0.4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23.25" customHeight="1" x14ac:dyDescent="0.4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23.25" customHeight="1" x14ac:dyDescent="0.4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23.25" customHeight="1" x14ac:dyDescent="0.4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23.25" customHeight="1" x14ac:dyDescent="0.4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23.25" customHeight="1" x14ac:dyDescent="0.4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23.25" customHeight="1" x14ac:dyDescent="0.4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23.25" customHeight="1" x14ac:dyDescent="0.4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23.25" customHeight="1" x14ac:dyDescent="0.4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23.25" customHeight="1" x14ac:dyDescent="0.4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23.25" customHeight="1" x14ac:dyDescent="0.4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23.25" customHeight="1" x14ac:dyDescent="0.4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23.25" customHeight="1" x14ac:dyDescent="0.4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23.25" customHeight="1" x14ac:dyDescent="0.4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23.25" customHeight="1" x14ac:dyDescent="0.4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23.25" customHeight="1" x14ac:dyDescent="0.4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23.25" customHeight="1" x14ac:dyDescent="0.4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23.25" customHeight="1" x14ac:dyDescent="0.4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23.25" customHeight="1" x14ac:dyDescent="0.4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23.25" customHeight="1" x14ac:dyDescent="0.4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23.25" customHeight="1" x14ac:dyDescent="0.4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23.25" customHeight="1" x14ac:dyDescent="0.4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23.25" customHeight="1" x14ac:dyDescent="0.4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23.25" customHeight="1" x14ac:dyDescent="0.4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23.25" customHeight="1" x14ac:dyDescent="0.4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23.25" customHeight="1" x14ac:dyDescent="0.4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23.25" customHeight="1" x14ac:dyDescent="0.4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23.25" customHeight="1" x14ac:dyDescent="0.4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23.25" customHeight="1" x14ac:dyDescent="0.4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23.25" customHeight="1" x14ac:dyDescent="0.4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23.25" customHeight="1" x14ac:dyDescent="0.4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23.25" customHeight="1" x14ac:dyDescent="0.4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23.25" customHeight="1" x14ac:dyDescent="0.4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23.25" customHeight="1" x14ac:dyDescent="0.4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23.25" customHeight="1" x14ac:dyDescent="0.4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23.25" customHeight="1" x14ac:dyDescent="0.4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23.25" customHeight="1" x14ac:dyDescent="0.4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23.25" customHeight="1" x14ac:dyDescent="0.4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23.25" customHeight="1" x14ac:dyDescent="0.4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23.25" customHeight="1" x14ac:dyDescent="0.4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23.25" customHeight="1" x14ac:dyDescent="0.4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23.25" customHeight="1" x14ac:dyDescent="0.4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23.25" customHeight="1" x14ac:dyDescent="0.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23.25" customHeight="1" x14ac:dyDescent="0.4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23.25" customHeight="1" x14ac:dyDescent="0.4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23.25" customHeight="1" x14ac:dyDescent="0.4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23.25" customHeight="1" x14ac:dyDescent="0.4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23.25" customHeight="1" x14ac:dyDescent="0.4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23.25" customHeight="1" x14ac:dyDescent="0.4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23.25" customHeight="1" x14ac:dyDescent="0.4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23.25" customHeight="1" x14ac:dyDescent="0.4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23.25" customHeight="1" x14ac:dyDescent="0.4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23.25" customHeight="1" x14ac:dyDescent="0.4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23.25" customHeight="1" x14ac:dyDescent="0.4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23.25" customHeight="1" x14ac:dyDescent="0.4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23.25" customHeight="1" x14ac:dyDescent="0.4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23.25" customHeight="1" x14ac:dyDescent="0.4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23.25" customHeight="1" x14ac:dyDescent="0.4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23.25" customHeight="1" x14ac:dyDescent="0.4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23.25" customHeight="1" x14ac:dyDescent="0.4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23.25" customHeight="1" x14ac:dyDescent="0.4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23.25" customHeight="1" x14ac:dyDescent="0.4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23.25" customHeight="1" x14ac:dyDescent="0.4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23.25" customHeight="1" x14ac:dyDescent="0.4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23.25" customHeight="1" x14ac:dyDescent="0.4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23.25" customHeight="1" x14ac:dyDescent="0.4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23.25" customHeight="1" x14ac:dyDescent="0.4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23.25" customHeight="1" x14ac:dyDescent="0.4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23.25" customHeight="1" x14ac:dyDescent="0.4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23.25" customHeight="1" x14ac:dyDescent="0.4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23.25" customHeight="1" x14ac:dyDescent="0.4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23.25" customHeight="1" x14ac:dyDescent="0.4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23.25" customHeight="1" x14ac:dyDescent="0.4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23.25" customHeight="1" x14ac:dyDescent="0.4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23.25" customHeight="1" x14ac:dyDescent="0.4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23.25" customHeight="1" x14ac:dyDescent="0.4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23.25" customHeight="1" x14ac:dyDescent="0.4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23.25" customHeight="1" x14ac:dyDescent="0.4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23.25" customHeight="1" x14ac:dyDescent="0.4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23.25" customHeight="1" x14ac:dyDescent="0.4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23.25" customHeight="1" x14ac:dyDescent="0.4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23.25" customHeight="1" x14ac:dyDescent="0.4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23.25" customHeight="1" x14ac:dyDescent="0.4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23.25" customHeight="1" x14ac:dyDescent="0.4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23.25" customHeight="1" x14ac:dyDescent="0.4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23.25" customHeight="1" x14ac:dyDescent="0.4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23.25" customHeight="1" x14ac:dyDescent="0.4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23.25" customHeight="1" x14ac:dyDescent="0.4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23.25" customHeight="1" x14ac:dyDescent="0.4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23.25" customHeight="1" x14ac:dyDescent="0.4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23.25" customHeight="1" x14ac:dyDescent="0.4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23.25" customHeight="1" x14ac:dyDescent="0.4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23.25" customHeight="1" x14ac:dyDescent="0.4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23.25" customHeight="1" x14ac:dyDescent="0.4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23.25" customHeight="1" x14ac:dyDescent="0.4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23.25" customHeight="1" x14ac:dyDescent="0.4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23.25" customHeight="1" x14ac:dyDescent="0.4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23.25" customHeight="1" x14ac:dyDescent="0.4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23.25" customHeight="1" x14ac:dyDescent="0.4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23.25" customHeight="1" x14ac:dyDescent="0.4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23.25" customHeight="1" x14ac:dyDescent="0.4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23.25" customHeight="1" x14ac:dyDescent="0.4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23.25" customHeight="1" x14ac:dyDescent="0.4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23.25" customHeight="1" x14ac:dyDescent="0.4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23.25" customHeight="1" x14ac:dyDescent="0.4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23.25" customHeight="1" x14ac:dyDescent="0.4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23.25" customHeight="1" x14ac:dyDescent="0.4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23.25" customHeight="1" x14ac:dyDescent="0.4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23.25" customHeight="1" x14ac:dyDescent="0.4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23.25" customHeight="1" x14ac:dyDescent="0.4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23.25" customHeight="1" x14ac:dyDescent="0.4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23.25" customHeight="1" x14ac:dyDescent="0.4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23.25" customHeight="1" x14ac:dyDescent="0.4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23.25" customHeight="1" x14ac:dyDescent="0.4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23.25" customHeight="1" x14ac:dyDescent="0.4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23.25" customHeight="1" x14ac:dyDescent="0.4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23.25" customHeight="1" x14ac:dyDescent="0.4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23.25" customHeight="1" x14ac:dyDescent="0.4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23.25" customHeight="1" x14ac:dyDescent="0.4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23.25" customHeight="1" x14ac:dyDescent="0.4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23.25" customHeight="1" x14ac:dyDescent="0.4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23.25" customHeight="1" x14ac:dyDescent="0.4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23.25" customHeight="1" x14ac:dyDescent="0.4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23.25" customHeight="1" x14ac:dyDescent="0.4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23.25" customHeight="1" x14ac:dyDescent="0.4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23.25" customHeight="1" x14ac:dyDescent="0.4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23.25" customHeight="1" x14ac:dyDescent="0.4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23.25" customHeight="1" x14ac:dyDescent="0.4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23.25" customHeight="1" x14ac:dyDescent="0.4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23.25" customHeight="1" x14ac:dyDescent="0.4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23.25" customHeight="1" x14ac:dyDescent="0.4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23.25" customHeight="1" x14ac:dyDescent="0.4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23.25" customHeight="1" x14ac:dyDescent="0.4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23.25" customHeight="1" x14ac:dyDescent="0.4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23.25" customHeight="1" x14ac:dyDescent="0.4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23.25" customHeight="1" x14ac:dyDescent="0.4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23.25" customHeight="1" x14ac:dyDescent="0.4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23.25" customHeight="1" x14ac:dyDescent="0.4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23.25" customHeight="1" x14ac:dyDescent="0.4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23.25" customHeight="1" x14ac:dyDescent="0.4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23.25" customHeight="1" x14ac:dyDescent="0.4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23.25" customHeight="1" x14ac:dyDescent="0.4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23.25" customHeight="1" x14ac:dyDescent="0.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23.25" customHeight="1" x14ac:dyDescent="0.4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23.25" customHeight="1" x14ac:dyDescent="0.4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23.25" customHeight="1" x14ac:dyDescent="0.4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23.25" customHeight="1" x14ac:dyDescent="0.4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23.25" customHeight="1" x14ac:dyDescent="0.4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23.25" customHeight="1" x14ac:dyDescent="0.4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23.25" customHeight="1" x14ac:dyDescent="0.4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23.25" customHeight="1" x14ac:dyDescent="0.4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23.25" customHeight="1" x14ac:dyDescent="0.4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23.25" customHeight="1" x14ac:dyDescent="0.4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23.25" customHeight="1" x14ac:dyDescent="0.4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23.25" customHeight="1" x14ac:dyDescent="0.4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23.25" customHeight="1" x14ac:dyDescent="0.4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23.25" customHeight="1" x14ac:dyDescent="0.4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23.25" customHeight="1" x14ac:dyDescent="0.4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23.25" customHeight="1" x14ac:dyDescent="0.4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23.25" customHeight="1" x14ac:dyDescent="0.4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23.25" customHeight="1" x14ac:dyDescent="0.4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23.25" customHeight="1" x14ac:dyDescent="0.4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23.25" customHeight="1" x14ac:dyDescent="0.4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23.25" customHeight="1" x14ac:dyDescent="0.4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23.25" customHeight="1" x14ac:dyDescent="0.4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23.25" customHeight="1" x14ac:dyDescent="0.4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23.25" customHeight="1" x14ac:dyDescent="0.4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23.25" customHeight="1" x14ac:dyDescent="0.4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23.25" customHeight="1" x14ac:dyDescent="0.4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23.25" customHeight="1" x14ac:dyDescent="0.4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23.25" customHeight="1" x14ac:dyDescent="0.4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23.25" customHeight="1" x14ac:dyDescent="0.4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23.25" customHeight="1" x14ac:dyDescent="0.4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23.25" customHeight="1" x14ac:dyDescent="0.4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23.25" customHeight="1" x14ac:dyDescent="0.4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23.25" customHeight="1" x14ac:dyDescent="0.4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23.25" customHeight="1" x14ac:dyDescent="0.4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23.25" customHeight="1" x14ac:dyDescent="0.4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23.25" customHeight="1" x14ac:dyDescent="0.4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23.25" customHeight="1" x14ac:dyDescent="0.4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23.25" customHeight="1" x14ac:dyDescent="0.4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23.25" customHeight="1" x14ac:dyDescent="0.4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23.25" customHeight="1" x14ac:dyDescent="0.4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23.25" customHeight="1" x14ac:dyDescent="0.4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23.25" customHeight="1" x14ac:dyDescent="0.4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23.25" customHeight="1" x14ac:dyDescent="0.4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23.25" customHeight="1" x14ac:dyDescent="0.4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23.25" customHeight="1" x14ac:dyDescent="0.4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23.25" customHeight="1" x14ac:dyDescent="0.4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23.25" customHeight="1" x14ac:dyDescent="0.4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23.25" customHeight="1" x14ac:dyDescent="0.4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23.25" customHeight="1" x14ac:dyDescent="0.4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23.25" customHeight="1" x14ac:dyDescent="0.4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23.25" customHeight="1" x14ac:dyDescent="0.4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23.25" customHeight="1" x14ac:dyDescent="0.4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23.25" customHeight="1" x14ac:dyDescent="0.4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23.25" customHeight="1" x14ac:dyDescent="0.4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23.25" customHeight="1" x14ac:dyDescent="0.4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23.25" customHeight="1" x14ac:dyDescent="0.4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23.25" customHeight="1" x14ac:dyDescent="0.4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23.25" customHeight="1" x14ac:dyDescent="0.4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23.25" customHeight="1" x14ac:dyDescent="0.4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23.25" customHeight="1" x14ac:dyDescent="0.4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23.25" customHeight="1" x14ac:dyDescent="0.4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23.25" customHeight="1" x14ac:dyDescent="0.4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23.25" customHeight="1" x14ac:dyDescent="0.4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23.25" customHeight="1" x14ac:dyDescent="0.4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23.25" customHeight="1" x14ac:dyDescent="0.4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23.25" customHeight="1" x14ac:dyDescent="0.4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23.25" customHeight="1" x14ac:dyDescent="0.4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23.25" customHeight="1" x14ac:dyDescent="0.4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23.25" customHeight="1" x14ac:dyDescent="0.4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23.25" customHeight="1" x14ac:dyDescent="0.4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23.25" customHeight="1" x14ac:dyDescent="0.4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23.25" customHeight="1" x14ac:dyDescent="0.4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23.25" customHeight="1" x14ac:dyDescent="0.4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23.25" customHeight="1" x14ac:dyDescent="0.4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23.25" customHeight="1" x14ac:dyDescent="0.4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23.25" customHeight="1" x14ac:dyDescent="0.4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23.25" customHeight="1" x14ac:dyDescent="0.4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23.25" customHeight="1" x14ac:dyDescent="0.4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23.25" customHeight="1" x14ac:dyDescent="0.4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23.25" customHeight="1" x14ac:dyDescent="0.4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23.25" customHeight="1" x14ac:dyDescent="0.4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23.25" customHeight="1" x14ac:dyDescent="0.4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23.25" customHeight="1" x14ac:dyDescent="0.4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23.25" customHeight="1" x14ac:dyDescent="0.4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23.25" customHeight="1" x14ac:dyDescent="0.4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23.25" customHeight="1" x14ac:dyDescent="0.4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23.25" customHeight="1" x14ac:dyDescent="0.4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23.25" customHeight="1" x14ac:dyDescent="0.4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23.25" customHeight="1" x14ac:dyDescent="0.4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23.25" customHeight="1" x14ac:dyDescent="0.4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23.25" customHeight="1" x14ac:dyDescent="0.4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23.25" customHeight="1" x14ac:dyDescent="0.4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23.25" customHeight="1" x14ac:dyDescent="0.4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23.25" customHeight="1" x14ac:dyDescent="0.4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23.25" customHeight="1" x14ac:dyDescent="0.4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23.25" customHeight="1" x14ac:dyDescent="0.4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23.25" customHeight="1" x14ac:dyDescent="0.4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23.25" customHeight="1" x14ac:dyDescent="0.4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23.25" customHeight="1" x14ac:dyDescent="0.4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23.25" customHeight="1" x14ac:dyDescent="0.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23.25" customHeight="1" x14ac:dyDescent="0.4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23.25" customHeight="1" x14ac:dyDescent="0.4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23.25" customHeight="1" x14ac:dyDescent="0.4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23.25" customHeight="1" x14ac:dyDescent="0.4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23.25" customHeight="1" x14ac:dyDescent="0.4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23.25" customHeight="1" x14ac:dyDescent="0.4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23.25" customHeight="1" x14ac:dyDescent="0.4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23.25" customHeight="1" x14ac:dyDescent="0.4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23.25" customHeight="1" x14ac:dyDescent="0.4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23.25" customHeight="1" x14ac:dyDescent="0.4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23.25" customHeight="1" x14ac:dyDescent="0.4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23.25" customHeight="1" x14ac:dyDescent="0.4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23.25" customHeight="1" x14ac:dyDescent="0.4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23.25" customHeight="1" x14ac:dyDescent="0.4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23.25" customHeight="1" x14ac:dyDescent="0.4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23.25" customHeight="1" x14ac:dyDescent="0.4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23.25" customHeight="1" x14ac:dyDescent="0.4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23.25" customHeight="1" x14ac:dyDescent="0.4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23.25" customHeight="1" x14ac:dyDescent="0.4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23.25" customHeight="1" x14ac:dyDescent="0.4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23.25" customHeight="1" x14ac:dyDescent="0.4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23.25" customHeight="1" x14ac:dyDescent="0.4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23.25" customHeight="1" x14ac:dyDescent="0.4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23.25" customHeight="1" x14ac:dyDescent="0.4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23.25" customHeight="1" x14ac:dyDescent="0.4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23.25" customHeight="1" x14ac:dyDescent="0.4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23.25" customHeight="1" x14ac:dyDescent="0.4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23.25" customHeight="1" x14ac:dyDescent="0.4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23.25" customHeight="1" x14ac:dyDescent="0.4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23.25" customHeight="1" x14ac:dyDescent="0.4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23.25" customHeight="1" x14ac:dyDescent="0.4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23.25" customHeight="1" x14ac:dyDescent="0.4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23.25" customHeight="1" x14ac:dyDescent="0.4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23.25" customHeight="1" x14ac:dyDescent="0.4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23.25" customHeight="1" x14ac:dyDescent="0.4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23.25" customHeight="1" x14ac:dyDescent="0.4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23.25" customHeight="1" x14ac:dyDescent="0.4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23.25" customHeight="1" x14ac:dyDescent="0.4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23.25" customHeight="1" x14ac:dyDescent="0.4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23.25" customHeight="1" x14ac:dyDescent="0.4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23.25" customHeight="1" x14ac:dyDescent="0.4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23.25" customHeight="1" x14ac:dyDescent="0.4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23.25" customHeight="1" x14ac:dyDescent="0.4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23.25" customHeight="1" x14ac:dyDescent="0.4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23.25" customHeight="1" x14ac:dyDescent="0.4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23.25" customHeight="1" x14ac:dyDescent="0.4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23.25" customHeight="1" x14ac:dyDescent="0.4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23.25" customHeight="1" x14ac:dyDescent="0.4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23.25" customHeight="1" x14ac:dyDescent="0.4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23.25" customHeight="1" x14ac:dyDescent="0.4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23.25" customHeight="1" x14ac:dyDescent="0.4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23.25" customHeight="1" x14ac:dyDescent="0.4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23.25" customHeight="1" x14ac:dyDescent="0.4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23.25" customHeight="1" x14ac:dyDescent="0.4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23.25" customHeight="1" x14ac:dyDescent="0.4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23.25" customHeight="1" x14ac:dyDescent="0.4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23.25" customHeight="1" x14ac:dyDescent="0.4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23.25" customHeight="1" x14ac:dyDescent="0.4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23.25" customHeight="1" x14ac:dyDescent="0.4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23.25" customHeight="1" x14ac:dyDescent="0.4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23.25" customHeight="1" x14ac:dyDescent="0.4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23.25" customHeight="1" x14ac:dyDescent="0.4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23.25" customHeight="1" x14ac:dyDescent="0.4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23.25" customHeight="1" x14ac:dyDescent="0.4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23.25" customHeight="1" x14ac:dyDescent="0.4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23.25" customHeight="1" x14ac:dyDescent="0.4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23.25" customHeight="1" x14ac:dyDescent="0.4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23.25" customHeight="1" x14ac:dyDescent="0.4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23.25" customHeight="1" x14ac:dyDescent="0.4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23.25" customHeight="1" x14ac:dyDescent="0.4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23.25" customHeight="1" x14ac:dyDescent="0.4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23.25" customHeight="1" x14ac:dyDescent="0.4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23.25" customHeight="1" x14ac:dyDescent="0.4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23.25" customHeight="1" x14ac:dyDescent="0.4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23.25" customHeight="1" x14ac:dyDescent="0.4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23.25" customHeight="1" x14ac:dyDescent="0.4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23.25" customHeight="1" x14ac:dyDescent="0.4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23.25" customHeight="1" x14ac:dyDescent="0.4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23.25" customHeight="1" x14ac:dyDescent="0.4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23.25" customHeight="1" x14ac:dyDescent="0.4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23.25" customHeight="1" x14ac:dyDescent="0.4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23.25" customHeight="1" x14ac:dyDescent="0.4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23.25" customHeight="1" x14ac:dyDescent="0.4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23.25" customHeight="1" x14ac:dyDescent="0.4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23.25" customHeight="1" x14ac:dyDescent="0.4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23.25" customHeight="1" x14ac:dyDescent="0.4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23.25" customHeight="1" x14ac:dyDescent="0.4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23.25" customHeight="1" x14ac:dyDescent="0.4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23.25" customHeight="1" x14ac:dyDescent="0.4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23.25" customHeight="1" x14ac:dyDescent="0.4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23.25" customHeight="1" x14ac:dyDescent="0.4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23.25" customHeight="1" x14ac:dyDescent="0.4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23.25" customHeight="1" x14ac:dyDescent="0.4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23.25" customHeight="1" x14ac:dyDescent="0.4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23.25" customHeight="1" x14ac:dyDescent="0.4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23.25" customHeight="1" x14ac:dyDescent="0.4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23.25" customHeight="1" x14ac:dyDescent="0.4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23.25" customHeight="1" x14ac:dyDescent="0.4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23.25" customHeight="1" x14ac:dyDescent="0.4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23.25" customHeight="1" x14ac:dyDescent="0.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23.25" customHeight="1" x14ac:dyDescent="0.4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23.25" customHeight="1" x14ac:dyDescent="0.4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23.25" customHeight="1" x14ac:dyDescent="0.4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23.25" customHeight="1" x14ac:dyDescent="0.4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23.25" customHeight="1" x14ac:dyDescent="0.4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23.25" customHeight="1" x14ac:dyDescent="0.4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23.25" customHeight="1" x14ac:dyDescent="0.4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23.25" customHeight="1" x14ac:dyDescent="0.4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23.25" customHeight="1" x14ac:dyDescent="0.4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23.25" customHeight="1" x14ac:dyDescent="0.4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23.25" customHeight="1" x14ac:dyDescent="0.4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23.25" customHeight="1" x14ac:dyDescent="0.4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23.25" customHeight="1" x14ac:dyDescent="0.4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23.25" customHeight="1" x14ac:dyDescent="0.4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23.25" customHeight="1" x14ac:dyDescent="0.4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23.25" customHeight="1" x14ac:dyDescent="0.4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23.25" customHeight="1" x14ac:dyDescent="0.4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23.25" customHeight="1" x14ac:dyDescent="0.4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23.25" customHeight="1" x14ac:dyDescent="0.4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23.25" customHeight="1" x14ac:dyDescent="0.4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23.25" customHeight="1" x14ac:dyDescent="0.4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23.25" customHeight="1" x14ac:dyDescent="0.4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23.25" customHeight="1" x14ac:dyDescent="0.4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23.25" customHeight="1" x14ac:dyDescent="0.4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23.25" customHeight="1" x14ac:dyDescent="0.4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23.25" customHeight="1" x14ac:dyDescent="0.4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23.25" customHeight="1" x14ac:dyDescent="0.4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23.25" customHeight="1" x14ac:dyDescent="0.4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23.25" customHeight="1" x14ac:dyDescent="0.4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23.25" customHeight="1" x14ac:dyDescent="0.4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23.25" customHeight="1" x14ac:dyDescent="0.4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23.25" customHeight="1" x14ac:dyDescent="0.4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23.25" customHeight="1" x14ac:dyDescent="0.4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23.25" customHeight="1" x14ac:dyDescent="0.4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23.25" customHeight="1" x14ac:dyDescent="0.4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23.25" customHeight="1" x14ac:dyDescent="0.4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23.25" customHeight="1" x14ac:dyDescent="0.4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23.25" customHeight="1" x14ac:dyDescent="0.4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23.25" customHeight="1" x14ac:dyDescent="0.4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23.25" customHeight="1" x14ac:dyDescent="0.4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23.25" customHeight="1" x14ac:dyDescent="0.4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23.25" customHeight="1" x14ac:dyDescent="0.4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23.25" customHeight="1" x14ac:dyDescent="0.4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23.25" customHeight="1" x14ac:dyDescent="0.4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23.25" customHeight="1" x14ac:dyDescent="0.4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23.25" customHeight="1" x14ac:dyDescent="0.4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23.25" customHeight="1" x14ac:dyDescent="0.4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23.25" customHeight="1" x14ac:dyDescent="0.4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23.25" customHeight="1" x14ac:dyDescent="0.4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23.25" customHeight="1" x14ac:dyDescent="0.4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23.25" customHeight="1" x14ac:dyDescent="0.4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23.25" customHeight="1" x14ac:dyDescent="0.4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23.25" customHeight="1" x14ac:dyDescent="0.4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23.25" customHeight="1" x14ac:dyDescent="0.4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23.25" customHeight="1" x14ac:dyDescent="0.4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23.25" customHeight="1" x14ac:dyDescent="0.4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23.25" customHeight="1" x14ac:dyDescent="0.4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23.25" customHeight="1" x14ac:dyDescent="0.4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23.25" customHeight="1" x14ac:dyDescent="0.4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23.25" customHeight="1" x14ac:dyDescent="0.4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23.25" customHeight="1" x14ac:dyDescent="0.4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23.25" customHeight="1" x14ac:dyDescent="0.4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23.25" customHeight="1" x14ac:dyDescent="0.4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23.25" customHeight="1" x14ac:dyDescent="0.4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23.25" customHeight="1" x14ac:dyDescent="0.4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23.25" customHeight="1" x14ac:dyDescent="0.4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23.25" customHeight="1" x14ac:dyDescent="0.4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23.25" customHeight="1" x14ac:dyDescent="0.4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23.25" customHeight="1" x14ac:dyDescent="0.4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23.25" customHeight="1" x14ac:dyDescent="0.4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23.25" customHeight="1" x14ac:dyDescent="0.4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23.25" customHeight="1" x14ac:dyDescent="0.4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23.25" customHeight="1" x14ac:dyDescent="0.4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23.25" customHeight="1" x14ac:dyDescent="0.4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23.25" customHeight="1" x14ac:dyDescent="0.4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23.25" customHeight="1" x14ac:dyDescent="0.4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23.25" customHeight="1" x14ac:dyDescent="0.4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23.25" customHeight="1" x14ac:dyDescent="0.4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23.25" customHeight="1" x14ac:dyDescent="0.4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23.25" customHeight="1" x14ac:dyDescent="0.4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23.25" customHeight="1" x14ac:dyDescent="0.4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23.25" customHeight="1" x14ac:dyDescent="0.4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23.25" customHeight="1" x14ac:dyDescent="0.4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23.25" customHeight="1" x14ac:dyDescent="0.4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23.25" customHeight="1" x14ac:dyDescent="0.4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23.25" customHeight="1" x14ac:dyDescent="0.4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23.25" customHeight="1" x14ac:dyDescent="0.4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23.25" customHeight="1" x14ac:dyDescent="0.4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23.25" customHeight="1" x14ac:dyDescent="0.4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23.25" customHeight="1" x14ac:dyDescent="0.4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23.25" customHeight="1" x14ac:dyDescent="0.4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23.25" customHeight="1" x14ac:dyDescent="0.4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23.25" customHeight="1" x14ac:dyDescent="0.4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23.25" customHeight="1" x14ac:dyDescent="0.4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23.25" customHeight="1" x14ac:dyDescent="0.4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23.25" customHeight="1" x14ac:dyDescent="0.4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23.25" customHeight="1" x14ac:dyDescent="0.4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23.25" customHeight="1" x14ac:dyDescent="0.4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23.25" customHeight="1" x14ac:dyDescent="0.4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23.25" customHeight="1" x14ac:dyDescent="0.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23.25" customHeight="1" x14ac:dyDescent="0.4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23.25" customHeight="1" x14ac:dyDescent="0.4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23.25" customHeight="1" x14ac:dyDescent="0.4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23.25" customHeight="1" x14ac:dyDescent="0.4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23.25" customHeight="1" x14ac:dyDescent="0.4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23.25" customHeight="1" x14ac:dyDescent="0.4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23.25" customHeight="1" x14ac:dyDescent="0.4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23.25" customHeight="1" x14ac:dyDescent="0.4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23.25" customHeight="1" x14ac:dyDescent="0.4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23.25" customHeight="1" x14ac:dyDescent="0.4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23.25" customHeight="1" x14ac:dyDescent="0.4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23.25" customHeight="1" x14ac:dyDescent="0.4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23.25" customHeight="1" x14ac:dyDescent="0.4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23.25" customHeight="1" x14ac:dyDescent="0.4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23.25" customHeight="1" x14ac:dyDescent="0.4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23.25" customHeight="1" x14ac:dyDescent="0.4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23.25" customHeight="1" x14ac:dyDescent="0.4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23.25" customHeight="1" x14ac:dyDescent="0.4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23.25" customHeight="1" x14ac:dyDescent="0.4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23.25" customHeight="1" x14ac:dyDescent="0.4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23.25" customHeight="1" x14ac:dyDescent="0.4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23.25" customHeight="1" x14ac:dyDescent="0.4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23.25" customHeight="1" x14ac:dyDescent="0.4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23.25" customHeight="1" x14ac:dyDescent="0.4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23.25" customHeight="1" x14ac:dyDescent="0.4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23.25" customHeight="1" x14ac:dyDescent="0.4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23.25" customHeight="1" x14ac:dyDescent="0.4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23.25" customHeight="1" x14ac:dyDescent="0.4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23.25" customHeight="1" x14ac:dyDescent="0.4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23.25" customHeight="1" x14ac:dyDescent="0.4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23.25" customHeight="1" x14ac:dyDescent="0.4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23.25" customHeight="1" x14ac:dyDescent="0.4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23.25" customHeight="1" x14ac:dyDescent="0.4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23.25" customHeight="1" x14ac:dyDescent="0.4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23.25" customHeight="1" x14ac:dyDescent="0.4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23.25" customHeight="1" x14ac:dyDescent="0.4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23.25" customHeight="1" x14ac:dyDescent="0.4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23.25" customHeight="1" x14ac:dyDescent="0.4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23.25" customHeight="1" x14ac:dyDescent="0.4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23.25" customHeight="1" x14ac:dyDescent="0.4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23.25" customHeight="1" x14ac:dyDescent="0.4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23.25" customHeight="1" x14ac:dyDescent="0.4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23.25" customHeight="1" x14ac:dyDescent="0.4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23.25" customHeight="1" x14ac:dyDescent="0.4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23.25" customHeight="1" x14ac:dyDescent="0.4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23.25" customHeight="1" x14ac:dyDescent="0.4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23.25" customHeight="1" x14ac:dyDescent="0.4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23.25" customHeight="1" x14ac:dyDescent="0.4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23.25" customHeight="1" x14ac:dyDescent="0.4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23.25" customHeight="1" x14ac:dyDescent="0.4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23.25" customHeight="1" x14ac:dyDescent="0.4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23.25" customHeight="1" x14ac:dyDescent="0.4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23.25" customHeight="1" x14ac:dyDescent="0.4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23.25" customHeight="1" x14ac:dyDescent="0.4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23.25" customHeight="1" x14ac:dyDescent="0.4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23.25" customHeight="1" x14ac:dyDescent="0.4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23.25" customHeight="1" x14ac:dyDescent="0.4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23.25" customHeight="1" x14ac:dyDescent="0.4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23.25" customHeight="1" x14ac:dyDescent="0.4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23.25" customHeight="1" x14ac:dyDescent="0.4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23.25" customHeight="1" x14ac:dyDescent="0.4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23.25" customHeight="1" x14ac:dyDescent="0.4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23.25" customHeight="1" x14ac:dyDescent="0.4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23.25" customHeight="1" x14ac:dyDescent="0.4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23.25" customHeight="1" x14ac:dyDescent="0.4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23.25" customHeight="1" x14ac:dyDescent="0.4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23.25" customHeight="1" x14ac:dyDescent="0.4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23.25" customHeight="1" x14ac:dyDescent="0.4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23.25" customHeight="1" x14ac:dyDescent="0.4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23.25" customHeight="1" x14ac:dyDescent="0.4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23.25" customHeight="1" x14ac:dyDescent="0.4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23.25" customHeight="1" x14ac:dyDescent="0.4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23.25" customHeight="1" x14ac:dyDescent="0.4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23.25" customHeight="1" x14ac:dyDescent="0.4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23.25" customHeight="1" x14ac:dyDescent="0.4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23.25" customHeight="1" x14ac:dyDescent="0.4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23.25" customHeight="1" x14ac:dyDescent="0.4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23.25" customHeight="1" x14ac:dyDescent="0.4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23.25" customHeight="1" x14ac:dyDescent="0.4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23.25" customHeight="1" x14ac:dyDescent="0.4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23.25" customHeight="1" x14ac:dyDescent="0.4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23.25" customHeight="1" x14ac:dyDescent="0.4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23.25" customHeight="1" x14ac:dyDescent="0.4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23.25" customHeight="1" x14ac:dyDescent="0.4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23.25" customHeight="1" x14ac:dyDescent="0.4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23.25" customHeight="1" x14ac:dyDescent="0.4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23.25" customHeight="1" x14ac:dyDescent="0.4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23.25" customHeight="1" x14ac:dyDescent="0.4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23.25" customHeight="1" x14ac:dyDescent="0.4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23.25" customHeight="1" x14ac:dyDescent="0.4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23.25" customHeight="1" x14ac:dyDescent="0.4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23.25" customHeight="1" x14ac:dyDescent="0.4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23.25" customHeight="1" x14ac:dyDescent="0.4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23.25" customHeight="1" x14ac:dyDescent="0.4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23.25" customHeight="1" x14ac:dyDescent="0.4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23.25" customHeight="1" x14ac:dyDescent="0.4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23.25" customHeight="1" x14ac:dyDescent="0.4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23.25" customHeight="1" x14ac:dyDescent="0.4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23.25" customHeight="1" x14ac:dyDescent="0.4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23.25" customHeight="1" x14ac:dyDescent="0.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23.25" customHeight="1" x14ac:dyDescent="0.4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23.25" customHeight="1" x14ac:dyDescent="0.4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23.25" customHeight="1" x14ac:dyDescent="0.4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23.25" customHeight="1" x14ac:dyDescent="0.4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23.25" customHeight="1" x14ac:dyDescent="0.4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23.25" customHeight="1" x14ac:dyDescent="0.4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23.25" customHeight="1" x14ac:dyDescent="0.4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23.25" customHeight="1" x14ac:dyDescent="0.4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23.25" customHeight="1" x14ac:dyDescent="0.4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23.25" customHeight="1" x14ac:dyDescent="0.4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23.25" customHeight="1" x14ac:dyDescent="0.4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23.25" customHeight="1" x14ac:dyDescent="0.4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23.25" customHeight="1" x14ac:dyDescent="0.4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23.25" customHeight="1" x14ac:dyDescent="0.4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23.25" customHeight="1" x14ac:dyDescent="0.4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23.25" customHeight="1" x14ac:dyDescent="0.4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23.25" customHeight="1" x14ac:dyDescent="0.4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23.25" customHeight="1" x14ac:dyDescent="0.4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23.25" customHeight="1" x14ac:dyDescent="0.4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23.25" customHeight="1" x14ac:dyDescent="0.4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23.25" customHeight="1" x14ac:dyDescent="0.4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23.25" customHeight="1" x14ac:dyDescent="0.4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23.25" customHeight="1" x14ac:dyDescent="0.4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23.25" customHeight="1" x14ac:dyDescent="0.4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23.25" customHeight="1" x14ac:dyDescent="0.4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23.25" customHeight="1" x14ac:dyDescent="0.4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23.25" customHeight="1" x14ac:dyDescent="0.4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23.25" customHeight="1" x14ac:dyDescent="0.4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23.25" customHeight="1" x14ac:dyDescent="0.4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23.25" customHeight="1" x14ac:dyDescent="0.4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23.25" customHeight="1" x14ac:dyDescent="0.4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23.25" customHeight="1" x14ac:dyDescent="0.4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23.25" customHeight="1" x14ac:dyDescent="0.4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23.25" customHeight="1" x14ac:dyDescent="0.4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23.25" customHeight="1" x14ac:dyDescent="0.4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23.25" customHeight="1" x14ac:dyDescent="0.4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23.25" customHeight="1" x14ac:dyDescent="0.4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23.25" customHeight="1" x14ac:dyDescent="0.4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23.25" customHeight="1" x14ac:dyDescent="0.4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23.25" customHeight="1" x14ac:dyDescent="0.4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23.25" customHeight="1" x14ac:dyDescent="0.4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23.25" customHeight="1" x14ac:dyDescent="0.4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23.25" customHeight="1" x14ac:dyDescent="0.4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23.25" customHeight="1" x14ac:dyDescent="0.4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23.25" customHeight="1" x14ac:dyDescent="0.4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23.25" customHeight="1" x14ac:dyDescent="0.4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23.25" customHeight="1" x14ac:dyDescent="0.4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23.25" customHeight="1" x14ac:dyDescent="0.4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23.25" customHeight="1" x14ac:dyDescent="0.4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23.25" customHeight="1" x14ac:dyDescent="0.4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23.25" customHeight="1" x14ac:dyDescent="0.4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23.25" customHeight="1" x14ac:dyDescent="0.4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23.25" customHeight="1" x14ac:dyDescent="0.4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23.25" customHeight="1" x14ac:dyDescent="0.4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23.25" customHeight="1" x14ac:dyDescent="0.4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23.25" customHeight="1" x14ac:dyDescent="0.4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23.25" customHeight="1" x14ac:dyDescent="0.4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23.25" customHeight="1" x14ac:dyDescent="0.4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23.25" customHeight="1" x14ac:dyDescent="0.4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23.25" customHeight="1" x14ac:dyDescent="0.4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23.25" customHeight="1" x14ac:dyDescent="0.4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23.25" customHeight="1" x14ac:dyDescent="0.4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23.25" customHeight="1" x14ac:dyDescent="0.4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23.25" customHeight="1" x14ac:dyDescent="0.4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23.25" customHeight="1" x14ac:dyDescent="0.4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23.25" customHeight="1" x14ac:dyDescent="0.4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23.25" customHeight="1" x14ac:dyDescent="0.4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23.25" customHeight="1" x14ac:dyDescent="0.4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23.25" customHeight="1" x14ac:dyDescent="0.4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23.25" customHeight="1" x14ac:dyDescent="0.4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23.25" customHeight="1" x14ac:dyDescent="0.4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23.25" customHeight="1" x14ac:dyDescent="0.4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23.25" customHeight="1" x14ac:dyDescent="0.4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23.25" customHeight="1" x14ac:dyDescent="0.4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23.25" customHeight="1" x14ac:dyDescent="0.4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23.25" customHeight="1" x14ac:dyDescent="0.4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23.25" customHeight="1" x14ac:dyDescent="0.4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23.25" customHeight="1" x14ac:dyDescent="0.4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23.25" customHeight="1" x14ac:dyDescent="0.4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23.25" customHeight="1" x14ac:dyDescent="0.4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23.25" customHeight="1" x14ac:dyDescent="0.4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23.25" customHeight="1" x14ac:dyDescent="0.4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23.25" customHeight="1" x14ac:dyDescent="0.4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23.25" customHeight="1" x14ac:dyDescent="0.4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23.25" customHeight="1" x14ac:dyDescent="0.4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23.25" customHeight="1" x14ac:dyDescent="0.4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23.25" customHeight="1" x14ac:dyDescent="0.4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23.25" customHeight="1" x14ac:dyDescent="0.4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23.25" customHeight="1" x14ac:dyDescent="0.4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23.25" customHeight="1" x14ac:dyDescent="0.4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23.25" customHeight="1" x14ac:dyDescent="0.4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23.25" customHeight="1" x14ac:dyDescent="0.4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23.25" customHeight="1" x14ac:dyDescent="0.4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23.25" customHeight="1" x14ac:dyDescent="0.4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23.25" customHeight="1" x14ac:dyDescent="0.4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23.25" customHeight="1" x14ac:dyDescent="0.4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23.25" customHeight="1" x14ac:dyDescent="0.4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23.25" customHeight="1" x14ac:dyDescent="0.4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23.25" customHeight="1" x14ac:dyDescent="0.4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23.25" customHeight="1" x14ac:dyDescent="0.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23.25" customHeight="1" x14ac:dyDescent="0.4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23.25" customHeight="1" x14ac:dyDescent="0.4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23.25" customHeight="1" x14ac:dyDescent="0.4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23.25" customHeight="1" x14ac:dyDescent="0.4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23.25" customHeight="1" x14ac:dyDescent="0.4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23.25" customHeight="1" x14ac:dyDescent="0.4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23.25" customHeight="1" x14ac:dyDescent="0.4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23.25" customHeight="1" x14ac:dyDescent="0.4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23.25" customHeight="1" x14ac:dyDescent="0.4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23.25" customHeight="1" x14ac:dyDescent="0.4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23.25" customHeight="1" x14ac:dyDescent="0.4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23.25" customHeight="1" x14ac:dyDescent="0.4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23.25" customHeight="1" x14ac:dyDescent="0.4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23.25" customHeight="1" x14ac:dyDescent="0.4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23.25" customHeight="1" x14ac:dyDescent="0.4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23.25" customHeight="1" x14ac:dyDescent="0.4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23.25" customHeight="1" x14ac:dyDescent="0.4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23.25" customHeight="1" x14ac:dyDescent="0.4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23.25" customHeight="1" x14ac:dyDescent="0.4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23.25" customHeight="1" x14ac:dyDescent="0.4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23.25" customHeight="1" x14ac:dyDescent="0.4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23.25" customHeight="1" x14ac:dyDescent="0.4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23.25" customHeight="1" x14ac:dyDescent="0.4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23.25" customHeight="1" x14ac:dyDescent="0.4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23.25" customHeight="1" x14ac:dyDescent="0.4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23.25" customHeight="1" x14ac:dyDescent="0.4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23.25" customHeight="1" x14ac:dyDescent="0.4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23.25" customHeight="1" x14ac:dyDescent="0.4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23.25" customHeight="1" x14ac:dyDescent="0.4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23.25" customHeight="1" x14ac:dyDescent="0.4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23.25" customHeight="1" x14ac:dyDescent="0.4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23.25" customHeight="1" x14ac:dyDescent="0.4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23.25" customHeight="1" x14ac:dyDescent="0.4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23.25" customHeight="1" x14ac:dyDescent="0.4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23.25" customHeight="1" x14ac:dyDescent="0.4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23.25" customHeight="1" x14ac:dyDescent="0.4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23.25" customHeight="1" x14ac:dyDescent="0.4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23.25" customHeight="1" x14ac:dyDescent="0.4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23.25" customHeight="1" x14ac:dyDescent="0.4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23.25" customHeight="1" x14ac:dyDescent="0.4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23.25" customHeight="1" x14ac:dyDescent="0.4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23.25" customHeight="1" x14ac:dyDescent="0.4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23.25" customHeight="1" x14ac:dyDescent="0.4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23.25" customHeight="1" x14ac:dyDescent="0.4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23.25" customHeight="1" x14ac:dyDescent="0.4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23.25" customHeight="1" x14ac:dyDescent="0.4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23.25" customHeight="1" x14ac:dyDescent="0.4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23.25" customHeight="1" x14ac:dyDescent="0.4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23.25" customHeight="1" x14ac:dyDescent="0.4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23.25" customHeight="1" x14ac:dyDescent="0.4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23.25" customHeight="1" x14ac:dyDescent="0.4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23.25" customHeight="1" x14ac:dyDescent="0.4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23.25" customHeight="1" x14ac:dyDescent="0.4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23.25" customHeight="1" x14ac:dyDescent="0.4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23.25" customHeight="1" x14ac:dyDescent="0.4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23.4" x14ac:dyDescent="0.45">
      <c r="D1001" s="8"/>
      <c r="E1001" s="8"/>
    </row>
    <row r="1002" spans="1:26" ht="23.4" x14ac:dyDescent="0.45">
      <c r="D1002" s="8"/>
      <c r="E1002" s="8"/>
    </row>
    <row r="1003" spans="1:26" ht="23.4" x14ac:dyDescent="0.45">
      <c r="D1003" s="8"/>
      <c r="E1003" s="8"/>
    </row>
    <row r="1004" spans="1:26" ht="23.4" x14ac:dyDescent="0.45">
      <c r="E1004" s="8"/>
    </row>
    <row r="1005" spans="1:26" ht="23.4" x14ac:dyDescent="0.45">
      <c r="E1005" s="8"/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985D-566C-4F11-825B-9CBE7381D23D}">
  <sheetPr>
    <outlinePr summaryBelow="0"/>
  </sheetPr>
  <dimension ref="B1:H11"/>
  <sheetViews>
    <sheetView showGridLines="0" workbookViewId="0">
      <selection activeCell="E3" sqref="E3:H8"/>
    </sheetView>
  </sheetViews>
  <sheetFormatPr defaultRowHeight="14.4" outlineLevelRow="1" outlineLevelCol="1" x14ac:dyDescent="0.3"/>
  <cols>
    <col min="3" max="3" width="6.109375" bestFit="1" customWidth="1"/>
    <col min="4" max="8" width="13.109375" bestFit="1" customWidth="1" outlineLevel="1"/>
  </cols>
  <sheetData>
    <row r="1" spans="2:8" ht="15" thickBot="1" x14ac:dyDescent="0.35"/>
    <row r="2" spans="2:8" ht="15.6" x14ac:dyDescent="0.3">
      <c r="B2" s="73" t="s">
        <v>149</v>
      </c>
      <c r="C2" s="73"/>
      <c r="D2" s="78"/>
      <c r="E2" s="78"/>
      <c r="F2" s="78"/>
      <c r="G2" s="78"/>
      <c r="H2" s="78"/>
    </row>
    <row r="3" spans="2:8" ht="15.6" collapsed="1" x14ac:dyDescent="0.3">
      <c r="B3" s="72"/>
      <c r="C3" s="72"/>
      <c r="D3" s="79" t="s">
        <v>151</v>
      </c>
      <c r="E3" s="79" t="s">
        <v>145</v>
      </c>
      <c r="F3" s="79" t="s">
        <v>147</v>
      </c>
      <c r="G3" s="79" t="s">
        <v>148</v>
      </c>
      <c r="H3" s="79">
        <v>1000</v>
      </c>
    </row>
    <row r="4" spans="2:8" ht="30.6" hidden="1" outlineLevel="1" x14ac:dyDescent="0.3">
      <c r="B4" s="75"/>
      <c r="C4" s="75"/>
      <c r="D4" s="69"/>
      <c r="E4" s="81" t="s">
        <v>146</v>
      </c>
      <c r="F4" s="81" t="s">
        <v>146</v>
      </c>
      <c r="G4" s="81" t="s">
        <v>146</v>
      </c>
      <c r="H4" s="81" t="s">
        <v>146</v>
      </c>
    </row>
    <row r="5" spans="2:8" x14ac:dyDescent="0.3">
      <c r="B5" s="76" t="s">
        <v>150</v>
      </c>
      <c r="C5" s="76"/>
      <c r="D5" s="74"/>
      <c r="E5" s="74"/>
      <c r="F5" s="74"/>
      <c r="G5" s="74"/>
      <c r="H5" s="74"/>
    </row>
    <row r="6" spans="2:8" outlineLevel="1" x14ac:dyDescent="0.3">
      <c r="B6" s="75"/>
      <c r="C6" s="75" t="s">
        <v>143</v>
      </c>
      <c r="D6" s="70">
        <v>4000</v>
      </c>
      <c r="E6" s="80">
        <v>10000</v>
      </c>
      <c r="F6" s="80">
        <v>5000</v>
      </c>
      <c r="G6" s="80">
        <v>3000</v>
      </c>
      <c r="H6" s="80">
        <v>1000</v>
      </c>
    </row>
    <row r="7" spans="2:8" x14ac:dyDescent="0.3">
      <c r="B7" s="76" t="s">
        <v>152</v>
      </c>
      <c r="C7" s="76"/>
      <c r="D7" s="74"/>
      <c r="E7" s="74"/>
      <c r="F7" s="74"/>
      <c r="G7" s="74"/>
      <c r="H7" s="74"/>
    </row>
    <row r="8" spans="2:8" ht="15" outlineLevel="1" thickBot="1" x14ac:dyDescent="0.35">
      <c r="B8" s="77"/>
      <c r="C8" s="77" t="s">
        <v>144</v>
      </c>
      <c r="D8" s="71">
        <v>50000</v>
      </c>
      <c r="E8" s="71">
        <v>44000</v>
      </c>
      <c r="F8" s="71">
        <v>49000</v>
      </c>
      <c r="G8" s="71">
        <v>51000</v>
      </c>
      <c r="H8" s="71">
        <v>53000</v>
      </c>
    </row>
    <row r="9" spans="2:8" x14ac:dyDescent="0.3">
      <c r="B9" t="s">
        <v>153</v>
      </c>
    </row>
    <row r="10" spans="2:8" x14ac:dyDescent="0.3">
      <c r="B10" t="s">
        <v>154</v>
      </c>
    </row>
    <row r="11" spans="2:8" x14ac:dyDescent="0.3">
      <c r="B11" t="s">
        <v>155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1EAD-4E2F-4B08-B820-344C0DB87595}">
  <sheetPr>
    <outlinePr summaryBelow="0"/>
  </sheetPr>
  <dimension ref="B1:J12"/>
  <sheetViews>
    <sheetView showGridLines="0" workbookViewId="0"/>
  </sheetViews>
  <sheetFormatPr defaultRowHeight="14.4" outlineLevelRow="1" outlineLevelCol="1" x14ac:dyDescent="0.3"/>
  <cols>
    <col min="3" max="3" width="6.109375" bestFit="1" customWidth="1"/>
    <col min="4" max="10" width="13.109375" bestFit="1" customWidth="1" outlineLevel="1"/>
  </cols>
  <sheetData>
    <row r="1" spans="2:10" ht="15" thickBot="1" x14ac:dyDescent="0.35"/>
    <row r="2" spans="2:10" ht="15.6" x14ac:dyDescent="0.3">
      <c r="B2" s="73" t="s">
        <v>149</v>
      </c>
      <c r="C2" s="73"/>
      <c r="D2" s="78"/>
      <c r="E2" s="78"/>
      <c r="F2" s="78"/>
      <c r="G2" s="78"/>
      <c r="H2" s="78"/>
      <c r="I2" s="78"/>
      <c r="J2" s="78"/>
    </row>
    <row r="3" spans="2:10" ht="15.6" collapsed="1" x14ac:dyDescent="0.3">
      <c r="B3" s="72"/>
      <c r="C3" s="72"/>
      <c r="D3" s="79" t="s">
        <v>151</v>
      </c>
      <c r="E3" s="79" t="s">
        <v>145</v>
      </c>
      <c r="F3" s="79" t="s">
        <v>147</v>
      </c>
      <c r="G3" s="79" t="s">
        <v>148</v>
      </c>
      <c r="H3" s="79">
        <v>1000</v>
      </c>
      <c r="I3" s="79" t="s">
        <v>158</v>
      </c>
      <c r="J3" s="79" t="s">
        <v>159</v>
      </c>
    </row>
    <row r="4" spans="2:10" ht="30.6" hidden="1" outlineLevel="1" x14ac:dyDescent="0.3">
      <c r="B4" s="75"/>
      <c r="C4" s="75"/>
      <c r="D4" s="69"/>
      <c r="E4" s="81" t="s">
        <v>146</v>
      </c>
      <c r="F4" s="81" t="s">
        <v>146</v>
      </c>
      <c r="G4" s="81" t="s">
        <v>146</v>
      </c>
      <c r="H4" s="81" t="s">
        <v>146</v>
      </c>
      <c r="I4" s="81" t="s">
        <v>146</v>
      </c>
      <c r="J4" s="81" t="s">
        <v>146</v>
      </c>
    </row>
    <row r="5" spans="2:10" x14ac:dyDescent="0.3">
      <c r="B5" s="76" t="s">
        <v>150</v>
      </c>
      <c r="C5" s="76"/>
      <c r="D5" s="74"/>
      <c r="E5" s="74"/>
      <c r="F5" s="74"/>
      <c r="G5" s="74"/>
      <c r="H5" s="74"/>
      <c r="I5" s="74"/>
      <c r="J5" s="74"/>
    </row>
    <row r="6" spans="2:10" outlineLevel="1" x14ac:dyDescent="0.3">
      <c r="B6" s="75"/>
      <c r="C6" s="75" t="s">
        <v>143</v>
      </c>
      <c r="D6" s="70">
        <v>4000</v>
      </c>
      <c r="E6" s="80">
        <v>10000</v>
      </c>
      <c r="F6" s="80">
        <v>5000</v>
      </c>
      <c r="G6" s="80">
        <v>3000</v>
      </c>
      <c r="H6" s="80">
        <v>1000</v>
      </c>
      <c r="I6" s="70">
        <v>4000</v>
      </c>
      <c r="J6" s="70">
        <v>4000</v>
      </c>
    </row>
    <row r="7" spans="2:10" outlineLevel="1" x14ac:dyDescent="0.3">
      <c r="B7" s="75"/>
      <c r="C7" s="75" t="s">
        <v>157</v>
      </c>
      <c r="D7" s="70">
        <v>50000</v>
      </c>
      <c r="E7" s="70">
        <v>50000</v>
      </c>
      <c r="F7" s="70">
        <v>50000</v>
      </c>
      <c r="G7" s="70">
        <v>50000</v>
      </c>
      <c r="H7" s="70">
        <v>50000</v>
      </c>
      <c r="I7" s="80">
        <v>60000</v>
      </c>
      <c r="J7" s="80">
        <v>70000</v>
      </c>
    </row>
    <row r="8" spans="2:10" x14ac:dyDescent="0.3">
      <c r="B8" s="76" t="s">
        <v>152</v>
      </c>
      <c r="C8" s="76"/>
      <c r="D8" s="74"/>
      <c r="E8" s="74"/>
      <c r="F8" s="74"/>
      <c r="G8" s="74"/>
      <c r="H8" s="74"/>
      <c r="I8" s="74"/>
      <c r="J8" s="74"/>
    </row>
    <row r="9" spans="2:10" ht="15" outlineLevel="1" thickBot="1" x14ac:dyDescent="0.35">
      <c r="B9" s="77"/>
      <c r="C9" s="77" t="s">
        <v>144</v>
      </c>
      <c r="D9" s="71">
        <v>50000</v>
      </c>
      <c r="E9" s="71">
        <v>50000</v>
      </c>
      <c r="F9" s="71">
        <v>50000</v>
      </c>
      <c r="G9" s="71">
        <v>50000</v>
      </c>
      <c r="H9" s="71">
        <v>50000</v>
      </c>
      <c r="I9" s="71">
        <v>40000</v>
      </c>
      <c r="J9" s="71">
        <v>30000</v>
      </c>
    </row>
    <row r="10" spans="2:10" x14ac:dyDescent="0.3">
      <c r="B10" t="s">
        <v>153</v>
      </c>
    </row>
    <row r="11" spans="2:10" x14ac:dyDescent="0.3">
      <c r="B11" t="s">
        <v>154</v>
      </c>
    </row>
    <row r="12" spans="2:10" x14ac:dyDescent="0.3">
      <c r="B12" t="s">
        <v>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47F6-1561-4DCD-AECD-9E283944CCBB}">
  <dimension ref="A1:Z1000"/>
  <sheetViews>
    <sheetView tabSelected="1" workbookViewId="0">
      <selection activeCell="I11" sqref="I11"/>
    </sheetView>
  </sheetViews>
  <sheetFormatPr defaultColWidth="14.44140625" defaultRowHeight="14.4" x14ac:dyDescent="0.3"/>
  <cols>
    <col min="1" max="1" width="32" customWidth="1"/>
    <col min="2" max="2" width="19.33203125" customWidth="1"/>
    <col min="3" max="4" width="8.88671875" customWidth="1"/>
    <col min="5" max="5" width="8.88671875" style="7" customWidth="1"/>
    <col min="6" max="6" width="16.77734375" customWidth="1"/>
    <col min="7" max="7" width="13.5546875" customWidth="1"/>
    <col min="8" max="8" width="8.6640625" customWidth="1"/>
    <col min="9" max="9" width="14.33203125" customWidth="1"/>
    <col min="10" max="10" width="10.109375" customWidth="1"/>
    <col min="11" max="12" width="8.6640625" customWidth="1"/>
    <col min="13" max="13" width="10.33203125" customWidth="1"/>
    <col min="14" max="26" width="8.6640625" customWidth="1"/>
  </cols>
  <sheetData>
    <row r="1" spans="1:26" ht="23.25" customHeight="1" x14ac:dyDescent="0.45">
      <c r="A1" s="12" t="s">
        <v>83</v>
      </c>
      <c r="B1" s="13">
        <v>100000</v>
      </c>
      <c r="C1" s="8"/>
      <c r="D1" s="8"/>
      <c r="E1" s="33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3.25" customHeight="1" x14ac:dyDescent="0.45">
      <c r="A2" s="14"/>
      <c r="B2" s="15"/>
      <c r="C2" s="8"/>
      <c r="D2" s="8"/>
      <c r="E2" s="35" t="s">
        <v>97</v>
      </c>
      <c r="F2" s="24"/>
      <c r="G2" s="24"/>
      <c r="H2" s="24"/>
      <c r="I2" s="24"/>
      <c r="J2" s="24"/>
      <c r="K2" s="24"/>
      <c r="L2" s="24"/>
      <c r="M2" s="24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3.25" customHeight="1" x14ac:dyDescent="0.45">
      <c r="A3" s="12" t="s">
        <v>84</v>
      </c>
      <c r="B3" s="15"/>
      <c r="C3" s="8"/>
      <c r="D3" s="8"/>
      <c r="E3" s="33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3.25" customHeight="1" x14ac:dyDescent="0.45">
      <c r="A4" s="14" t="s">
        <v>85</v>
      </c>
      <c r="B4" s="13">
        <v>5000</v>
      </c>
      <c r="C4" s="8"/>
      <c r="D4" s="8"/>
      <c r="E4" s="34">
        <v>1</v>
      </c>
      <c r="F4" s="32" t="s">
        <v>100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8"/>
      <c r="T4" s="8"/>
      <c r="U4" s="8"/>
      <c r="V4" s="8"/>
      <c r="W4" s="8"/>
      <c r="X4" s="8"/>
      <c r="Y4" s="8"/>
      <c r="Z4" s="8"/>
    </row>
    <row r="5" spans="1:26" ht="23.25" customHeight="1" x14ac:dyDescent="0.45">
      <c r="A5" s="14" t="s">
        <v>86</v>
      </c>
      <c r="B5" s="13">
        <v>40000</v>
      </c>
      <c r="C5" s="8"/>
      <c r="D5" s="8"/>
      <c r="E5" s="34" t="s">
        <v>98</v>
      </c>
      <c r="F5" s="32" t="s">
        <v>145</v>
      </c>
      <c r="G5" s="32">
        <v>44000</v>
      </c>
      <c r="H5" s="32"/>
      <c r="I5" s="32" t="s">
        <v>148</v>
      </c>
      <c r="J5" s="32">
        <v>51000</v>
      </c>
      <c r="K5" s="32"/>
      <c r="L5" s="32"/>
      <c r="M5" s="32"/>
      <c r="N5" s="32"/>
      <c r="O5" s="32"/>
      <c r="P5" s="32"/>
      <c r="Q5" s="32"/>
      <c r="R5" s="32"/>
      <c r="S5" s="8"/>
      <c r="T5" s="8"/>
      <c r="U5" s="8"/>
      <c r="V5" s="8"/>
      <c r="W5" s="8"/>
      <c r="X5" s="8"/>
      <c r="Y5" s="8"/>
      <c r="Z5" s="8"/>
    </row>
    <row r="6" spans="1:26" ht="23.25" customHeight="1" x14ac:dyDescent="0.45">
      <c r="A6" s="14" t="s">
        <v>87</v>
      </c>
      <c r="B6" s="13">
        <v>4000</v>
      </c>
      <c r="C6" s="8"/>
      <c r="D6" s="8"/>
      <c r="E6" s="33"/>
      <c r="F6" s="8" t="s">
        <v>147</v>
      </c>
      <c r="G6" s="8">
        <v>49000</v>
      </c>
      <c r="H6" s="8"/>
      <c r="I6" s="8" t="s">
        <v>156</v>
      </c>
      <c r="J6" s="8">
        <v>53000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3.25" customHeight="1" x14ac:dyDescent="0.45">
      <c r="A7" s="14" t="s">
        <v>88</v>
      </c>
      <c r="B7" s="13">
        <v>1000</v>
      </c>
      <c r="C7" s="8"/>
      <c r="D7" s="8"/>
      <c r="E7" s="34">
        <v>2</v>
      </c>
      <c r="F7" s="32" t="s">
        <v>101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8"/>
      <c r="T7" s="8"/>
      <c r="U7" s="8"/>
      <c r="V7" s="8"/>
      <c r="W7" s="8"/>
      <c r="X7" s="8"/>
      <c r="Y7" s="8"/>
      <c r="Z7" s="8"/>
    </row>
    <row r="8" spans="1:26" ht="23.25" customHeight="1" x14ac:dyDescent="0.45">
      <c r="A8" s="12"/>
      <c r="B8" s="15"/>
      <c r="C8" s="8"/>
      <c r="D8" s="8"/>
      <c r="E8" s="33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3.25" customHeight="1" x14ac:dyDescent="0.45">
      <c r="A9" s="12" t="s">
        <v>89</v>
      </c>
      <c r="B9" s="16">
        <v>50000</v>
      </c>
      <c r="C9" s="8"/>
      <c r="D9" s="8"/>
      <c r="E9" s="34">
        <v>3</v>
      </c>
      <c r="F9" s="32" t="s">
        <v>102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8"/>
      <c r="T9" s="8"/>
      <c r="U9" s="8"/>
      <c r="V9" s="8"/>
      <c r="W9" s="8"/>
      <c r="X9" s="8"/>
      <c r="Y9" s="8"/>
      <c r="Z9" s="8"/>
    </row>
    <row r="10" spans="1:26" ht="23.25" customHeight="1" x14ac:dyDescent="0.45">
      <c r="A10" s="12"/>
      <c r="B10" s="15"/>
      <c r="C10" s="8"/>
      <c r="D10" s="8"/>
      <c r="E10" s="34" t="s">
        <v>98</v>
      </c>
      <c r="F10" s="32" t="s">
        <v>160</v>
      </c>
      <c r="G10" s="32">
        <v>40000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8"/>
      <c r="T10" s="8"/>
      <c r="U10" s="8"/>
      <c r="V10" s="8"/>
      <c r="W10" s="8"/>
      <c r="X10" s="8"/>
      <c r="Y10" s="8"/>
      <c r="Z10" s="8"/>
    </row>
    <row r="11" spans="1:26" ht="23.25" customHeight="1" x14ac:dyDescent="0.45">
      <c r="A11" s="12" t="s">
        <v>10</v>
      </c>
      <c r="B11" s="16">
        <f>B1-B9</f>
        <v>50000</v>
      </c>
      <c r="C11" s="8"/>
      <c r="D11" s="8"/>
      <c r="E11" s="33"/>
      <c r="F11" s="8" t="s">
        <v>161</v>
      </c>
      <c r="G11" s="8">
        <v>30000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3.25" customHeight="1" x14ac:dyDescent="0.45">
      <c r="A12" s="8"/>
      <c r="B12" s="17"/>
      <c r="C12" s="8"/>
      <c r="D12" s="8"/>
      <c r="E12" s="34">
        <v>4</v>
      </c>
      <c r="F12" s="32" t="s">
        <v>103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8"/>
      <c r="T12" s="8"/>
      <c r="U12" s="8"/>
      <c r="V12" s="8"/>
      <c r="W12" s="8"/>
      <c r="X12" s="8"/>
      <c r="Y12" s="8"/>
      <c r="Z12" s="8"/>
    </row>
    <row r="13" spans="1:26" ht="23.25" customHeight="1" x14ac:dyDescent="0.45">
      <c r="A13" s="8"/>
      <c r="B13" s="17"/>
      <c r="C13" s="8"/>
      <c r="D13" s="8"/>
      <c r="E13" s="33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3.25" customHeight="1" x14ac:dyDescent="0.45">
      <c r="A14" s="8"/>
      <c r="B14" s="17"/>
      <c r="C14" s="8"/>
      <c r="D14" s="8"/>
      <c r="E14" s="33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3.25" customHeight="1" x14ac:dyDescent="0.45">
      <c r="A15" s="8"/>
      <c r="B15" s="17"/>
      <c r="C15" s="8"/>
      <c r="D15" s="8"/>
      <c r="E15" s="33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3.25" customHeight="1" x14ac:dyDescent="0.45">
      <c r="A16" s="8"/>
      <c r="B16" s="17"/>
      <c r="C16" s="8"/>
      <c r="D16" s="8"/>
      <c r="E16" s="33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3.25" customHeight="1" x14ac:dyDescent="0.45">
      <c r="A17" s="8"/>
      <c r="B17" s="17"/>
      <c r="C17" s="8"/>
      <c r="D17" s="8"/>
      <c r="E17" s="33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23.25" customHeight="1" x14ac:dyDescent="0.45">
      <c r="A18" s="8"/>
      <c r="B18" s="17"/>
      <c r="C18" s="8"/>
      <c r="D18" s="8"/>
      <c r="E18" s="33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23.25" customHeight="1" x14ac:dyDescent="0.45">
      <c r="A19" s="8"/>
      <c r="B19" s="17"/>
      <c r="C19" s="8"/>
      <c r="D19" s="8"/>
      <c r="E19" s="33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23.25" customHeight="1" x14ac:dyDescent="0.45">
      <c r="A20" s="8"/>
      <c r="B20" s="17"/>
      <c r="C20" s="8"/>
      <c r="D20" s="8"/>
      <c r="E20" s="33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23.25" customHeight="1" x14ac:dyDescent="0.45">
      <c r="A21" s="8"/>
      <c r="B21" s="17"/>
      <c r="C21" s="8"/>
      <c r="D21" s="8"/>
      <c r="E21" s="33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23.25" customHeight="1" x14ac:dyDescent="0.45">
      <c r="A22" s="8"/>
      <c r="B22" s="17"/>
      <c r="C22" s="8"/>
      <c r="D22" s="8"/>
      <c r="E22" s="33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23.25" customHeight="1" x14ac:dyDescent="0.45">
      <c r="A23" s="8"/>
      <c r="B23" s="17"/>
      <c r="C23" s="8"/>
      <c r="D23" s="8"/>
      <c r="E23" s="33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23.25" customHeight="1" x14ac:dyDescent="0.45">
      <c r="A24" s="8"/>
      <c r="B24" s="17"/>
      <c r="C24" s="8"/>
      <c r="D24" s="8"/>
      <c r="E24" s="33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23.25" customHeight="1" x14ac:dyDescent="0.45">
      <c r="A25" s="8"/>
      <c r="B25" s="17"/>
      <c r="C25" s="8"/>
      <c r="D25" s="8"/>
      <c r="E25" s="33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23.25" customHeight="1" x14ac:dyDescent="0.45">
      <c r="A26" s="8"/>
      <c r="B26" s="17"/>
      <c r="C26" s="8"/>
      <c r="D26" s="8"/>
      <c r="E26" s="33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23.25" customHeight="1" x14ac:dyDescent="0.45">
      <c r="A27" s="8"/>
      <c r="B27" s="17"/>
      <c r="C27" s="8"/>
      <c r="D27" s="8"/>
      <c r="E27" s="33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23.25" customHeight="1" x14ac:dyDescent="0.45">
      <c r="A28" s="8"/>
      <c r="B28" s="17"/>
      <c r="C28" s="8"/>
      <c r="D28" s="8"/>
      <c r="E28" s="33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3.25" customHeight="1" x14ac:dyDescent="0.45">
      <c r="A29" s="8"/>
      <c r="B29" s="17"/>
      <c r="C29" s="8"/>
      <c r="D29" s="8"/>
      <c r="E29" s="33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23.25" customHeight="1" x14ac:dyDescent="0.45">
      <c r="A30" s="8"/>
      <c r="B30" s="17"/>
      <c r="C30" s="8"/>
      <c r="D30" s="8"/>
      <c r="E30" s="33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23.25" customHeight="1" x14ac:dyDescent="0.45">
      <c r="A31" s="8"/>
      <c r="B31" s="17"/>
      <c r="C31" s="8"/>
      <c r="D31" s="8"/>
      <c r="E31" s="33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23.25" customHeight="1" x14ac:dyDescent="0.45">
      <c r="A32" s="8"/>
      <c r="B32" s="17"/>
      <c r="C32" s="8"/>
      <c r="D32" s="8"/>
      <c r="E32" s="33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23.25" customHeight="1" x14ac:dyDescent="0.45">
      <c r="A33" s="8"/>
      <c r="B33" s="17"/>
      <c r="C33" s="8"/>
      <c r="D33" s="8"/>
      <c r="E33" s="33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23.25" customHeight="1" x14ac:dyDescent="0.45">
      <c r="A34" s="8"/>
      <c r="B34" s="17"/>
      <c r="C34" s="8"/>
      <c r="D34" s="8"/>
      <c r="E34" s="33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23.25" customHeight="1" x14ac:dyDescent="0.45">
      <c r="A35" s="8"/>
      <c r="B35" s="17"/>
      <c r="C35" s="8"/>
      <c r="D35" s="8"/>
      <c r="E35" s="33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23.25" customHeight="1" x14ac:dyDescent="0.45">
      <c r="A36" s="8"/>
      <c r="B36" s="17"/>
      <c r="C36" s="8"/>
      <c r="D36" s="8"/>
      <c r="E36" s="33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23.25" customHeight="1" x14ac:dyDescent="0.45">
      <c r="A37" s="8"/>
      <c r="B37" s="17"/>
      <c r="C37" s="8"/>
      <c r="D37" s="8"/>
      <c r="E37" s="33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23.25" customHeight="1" x14ac:dyDescent="0.45">
      <c r="A38" s="8"/>
      <c r="B38" s="17"/>
      <c r="C38" s="8"/>
      <c r="D38" s="8"/>
      <c r="E38" s="33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23.25" customHeight="1" x14ac:dyDescent="0.45">
      <c r="A39" s="8"/>
      <c r="B39" s="17"/>
      <c r="C39" s="8"/>
      <c r="D39" s="8"/>
      <c r="E39" s="33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23.25" customHeight="1" x14ac:dyDescent="0.45">
      <c r="A40" s="8"/>
      <c r="B40" s="17"/>
      <c r="C40" s="8"/>
      <c r="D40" s="8"/>
      <c r="E40" s="33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23.25" customHeight="1" x14ac:dyDescent="0.45">
      <c r="A41" s="8"/>
      <c r="B41" s="17"/>
      <c r="C41" s="8"/>
      <c r="D41" s="8"/>
      <c r="E41" s="33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23.25" customHeight="1" x14ac:dyDescent="0.45">
      <c r="A42" s="8"/>
      <c r="B42" s="17"/>
      <c r="C42" s="8"/>
      <c r="D42" s="8"/>
      <c r="E42" s="33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23.25" customHeight="1" x14ac:dyDescent="0.45">
      <c r="A43" s="8"/>
      <c r="B43" s="17"/>
      <c r="C43" s="8"/>
      <c r="D43" s="8"/>
      <c r="E43" s="33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23.25" customHeight="1" x14ac:dyDescent="0.45">
      <c r="A44" s="8"/>
      <c r="B44" s="17"/>
      <c r="C44" s="8"/>
      <c r="D44" s="8"/>
      <c r="E44" s="33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23.25" customHeight="1" x14ac:dyDescent="0.45">
      <c r="A45" s="8"/>
      <c r="B45" s="17"/>
      <c r="C45" s="8"/>
      <c r="D45" s="8"/>
      <c r="E45" s="33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23.25" customHeight="1" x14ac:dyDescent="0.45">
      <c r="A46" s="8"/>
      <c r="B46" s="17"/>
      <c r="C46" s="8"/>
      <c r="D46" s="8"/>
      <c r="E46" s="33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23.25" customHeight="1" x14ac:dyDescent="0.45">
      <c r="A47" s="8"/>
      <c r="B47" s="17"/>
      <c r="C47" s="8"/>
      <c r="D47" s="8"/>
      <c r="E47" s="33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23.25" customHeight="1" x14ac:dyDescent="0.45">
      <c r="A48" s="8"/>
      <c r="B48" s="17"/>
      <c r="C48" s="8"/>
      <c r="D48" s="8"/>
      <c r="E48" s="33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23.25" customHeight="1" x14ac:dyDescent="0.45">
      <c r="A49" s="8"/>
      <c r="B49" s="17"/>
      <c r="C49" s="8"/>
      <c r="D49" s="8"/>
      <c r="E49" s="33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23.25" customHeight="1" x14ac:dyDescent="0.45">
      <c r="A50" s="8"/>
      <c r="B50" s="17"/>
      <c r="C50" s="8"/>
      <c r="D50" s="8"/>
      <c r="E50" s="33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23.25" customHeight="1" x14ac:dyDescent="0.45">
      <c r="A51" s="8"/>
      <c r="B51" s="17"/>
      <c r="C51" s="8"/>
      <c r="D51" s="8"/>
      <c r="E51" s="33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23.25" customHeight="1" x14ac:dyDescent="0.45">
      <c r="A52" s="8"/>
      <c r="B52" s="17"/>
      <c r="C52" s="8"/>
      <c r="D52" s="8"/>
      <c r="E52" s="33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23.25" customHeight="1" x14ac:dyDescent="0.45">
      <c r="A53" s="8"/>
      <c r="B53" s="17"/>
      <c r="C53" s="8"/>
      <c r="D53" s="8"/>
      <c r="E53" s="33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23.25" customHeight="1" x14ac:dyDescent="0.45">
      <c r="A54" s="8"/>
      <c r="B54" s="17"/>
      <c r="C54" s="8"/>
      <c r="D54" s="8"/>
      <c r="E54" s="33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23.25" customHeight="1" x14ac:dyDescent="0.45">
      <c r="A55" s="8"/>
      <c r="B55" s="17"/>
      <c r="C55" s="8"/>
      <c r="D55" s="8"/>
      <c r="E55" s="33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23.25" customHeight="1" x14ac:dyDescent="0.45">
      <c r="A56" s="8"/>
      <c r="B56" s="17"/>
      <c r="C56" s="8"/>
      <c r="D56" s="8"/>
      <c r="E56" s="33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23.25" customHeight="1" x14ac:dyDescent="0.45">
      <c r="A57" s="8"/>
      <c r="B57" s="17"/>
      <c r="C57" s="8"/>
      <c r="D57" s="8"/>
      <c r="E57" s="33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23.25" customHeight="1" x14ac:dyDescent="0.45">
      <c r="A58" s="8"/>
      <c r="B58" s="17"/>
      <c r="C58" s="8"/>
      <c r="D58" s="8"/>
      <c r="E58" s="33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23.25" customHeight="1" x14ac:dyDescent="0.45">
      <c r="A59" s="8"/>
      <c r="B59" s="17"/>
      <c r="C59" s="8"/>
      <c r="D59" s="8"/>
      <c r="E59" s="33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23.25" customHeight="1" x14ac:dyDescent="0.45">
      <c r="A60" s="8"/>
      <c r="B60" s="17"/>
      <c r="C60" s="8"/>
      <c r="D60" s="8"/>
      <c r="E60" s="33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23.25" customHeight="1" x14ac:dyDescent="0.45">
      <c r="A61" s="8"/>
      <c r="B61" s="17"/>
      <c r="C61" s="8"/>
      <c r="D61" s="8"/>
      <c r="E61" s="33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23.25" customHeight="1" x14ac:dyDescent="0.45">
      <c r="A62" s="8"/>
      <c r="B62" s="17"/>
      <c r="C62" s="8"/>
      <c r="D62" s="8"/>
      <c r="E62" s="33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23.25" customHeight="1" x14ac:dyDescent="0.45">
      <c r="A63" s="8"/>
      <c r="B63" s="17"/>
      <c r="C63" s="8"/>
      <c r="D63" s="8"/>
      <c r="E63" s="33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23.25" customHeight="1" x14ac:dyDescent="0.45">
      <c r="A64" s="8"/>
      <c r="B64" s="17"/>
      <c r="C64" s="8"/>
      <c r="D64" s="8"/>
      <c r="E64" s="33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23.25" customHeight="1" x14ac:dyDescent="0.45">
      <c r="A65" s="8"/>
      <c r="B65" s="17"/>
      <c r="C65" s="8"/>
      <c r="D65" s="8"/>
      <c r="E65" s="33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23.25" customHeight="1" x14ac:dyDescent="0.45">
      <c r="A66" s="8"/>
      <c r="B66" s="17"/>
      <c r="C66" s="8"/>
      <c r="D66" s="8"/>
      <c r="E66" s="33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23.25" customHeight="1" x14ac:dyDescent="0.45">
      <c r="A67" s="8"/>
      <c r="B67" s="17"/>
      <c r="C67" s="8"/>
      <c r="D67" s="8"/>
      <c r="E67" s="33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23.25" customHeight="1" x14ac:dyDescent="0.45">
      <c r="A68" s="8"/>
      <c r="B68" s="17"/>
      <c r="C68" s="8"/>
      <c r="D68" s="8"/>
      <c r="E68" s="33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23.25" customHeight="1" x14ac:dyDescent="0.45">
      <c r="A69" s="8"/>
      <c r="B69" s="17"/>
      <c r="C69" s="8"/>
      <c r="D69" s="8"/>
      <c r="E69" s="33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23.25" customHeight="1" x14ac:dyDescent="0.45">
      <c r="A70" s="8"/>
      <c r="B70" s="17"/>
      <c r="C70" s="8"/>
      <c r="D70" s="8"/>
      <c r="E70" s="33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23.25" customHeight="1" x14ac:dyDescent="0.45">
      <c r="A71" s="8"/>
      <c r="B71" s="17"/>
      <c r="C71" s="8"/>
      <c r="D71" s="8"/>
      <c r="E71" s="33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23.25" customHeight="1" x14ac:dyDescent="0.45">
      <c r="A72" s="8"/>
      <c r="B72" s="17"/>
      <c r="C72" s="8"/>
      <c r="D72" s="8"/>
      <c r="E72" s="33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23.25" customHeight="1" x14ac:dyDescent="0.45">
      <c r="A73" s="8"/>
      <c r="B73" s="17"/>
      <c r="C73" s="8"/>
      <c r="D73" s="8"/>
      <c r="E73" s="33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23.25" customHeight="1" x14ac:dyDescent="0.45">
      <c r="A74" s="8"/>
      <c r="B74" s="17"/>
      <c r="C74" s="8"/>
      <c r="D74" s="8"/>
      <c r="E74" s="33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23.25" customHeight="1" x14ac:dyDescent="0.45">
      <c r="A75" s="8"/>
      <c r="B75" s="17"/>
      <c r="C75" s="8"/>
      <c r="D75" s="8"/>
      <c r="E75" s="33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23.25" customHeight="1" x14ac:dyDescent="0.45">
      <c r="A76" s="8"/>
      <c r="B76" s="17"/>
      <c r="C76" s="8"/>
      <c r="D76" s="8"/>
      <c r="E76" s="33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23.25" customHeight="1" x14ac:dyDescent="0.45">
      <c r="A77" s="8"/>
      <c r="B77" s="17"/>
      <c r="C77" s="8"/>
      <c r="D77" s="8"/>
      <c r="E77" s="33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23.25" customHeight="1" x14ac:dyDescent="0.45">
      <c r="A78" s="8"/>
      <c r="B78" s="17"/>
      <c r="C78" s="8"/>
      <c r="D78" s="8"/>
      <c r="E78" s="33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23.25" customHeight="1" x14ac:dyDescent="0.45">
      <c r="A79" s="8"/>
      <c r="B79" s="17"/>
      <c r="C79" s="8"/>
      <c r="D79" s="8"/>
      <c r="E79" s="33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23.25" customHeight="1" x14ac:dyDescent="0.45">
      <c r="A80" s="8"/>
      <c r="B80" s="17"/>
      <c r="C80" s="8"/>
      <c r="D80" s="8"/>
      <c r="E80" s="33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23.25" customHeight="1" x14ac:dyDescent="0.45">
      <c r="A81" s="8"/>
      <c r="B81" s="17"/>
      <c r="C81" s="8"/>
      <c r="D81" s="8"/>
      <c r="E81" s="33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23.25" customHeight="1" x14ac:dyDescent="0.45">
      <c r="A82" s="8"/>
      <c r="B82" s="17"/>
      <c r="C82" s="8"/>
      <c r="D82" s="8"/>
      <c r="E82" s="33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23.25" customHeight="1" x14ac:dyDescent="0.45">
      <c r="A83" s="8"/>
      <c r="B83" s="17"/>
      <c r="C83" s="8"/>
      <c r="D83" s="8"/>
      <c r="E83" s="33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23.25" customHeight="1" x14ac:dyDescent="0.45">
      <c r="A84" s="8"/>
      <c r="B84" s="17"/>
      <c r="C84" s="8"/>
      <c r="D84" s="8"/>
      <c r="E84" s="33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23.25" customHeight="1" x14ac:dyDescent="0.45">
      <c r="A85" s="8"/>
      <c r="B85" s="17"/>
      <c r="C85" s="8"/>
      <c r="D85" s="8"/>
      <c r="E85" s="33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23.25" customHeight="1" x14ac:dyDescent="0.45">
      <c r="A86" s="8"/>
      <c r="B86" s="17"/>
      <c r="C86" s="8"/>
      <c r="D86" s="8"/>
      <c r="E86" s="33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23.25" customHeight="1" x14ac:dyDescent="0.45">
      <c r="A87" s="8"/>
      <c r="B87" s="17"/>
      <c r="C87" s="8"/>
      <c r="D87" s="8"/>
      <c r="E87" s="33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23.25" customHeight="1" x14ac:dyDescent="0.45">
      <c r="A88" s="8"/>
      <c r="B88" s="17"/>
      <c r="C88" s="8"/>
      <c r="D88" s="8"/>
      <c r="E88" s="33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23.25" customHeight="1" x14ac:dyDescent="0.45">
      <c r="A89" s="8"/>
      <c r="B89" s="17"/>
      <c r="C89" s="8"/>
      <c r="D89" s="8"/>
      <c r="E89" s="33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23.25" customHeight="1" x14ac:dyDescent="0.45">
      <c r="A90" s="8"/>
      <c r="B90" s="17"/>
      <c r="C90" s="8"/>
      <c r="D90" s="8"/>
      <c r="E90" s="33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23.25" customHeight="1" x14ac:dyDescent="0.45">
      <c r="A91" s="8"/>
      <c r="B91" s="17"/>
      <c r="C91" s="8"/>
      <c r="D91" s="8"/>
      <c r="E91" s="33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23.25" customHeight="1" x14ac:dyDescent="0.45">
      <c r="A92" s="8"/>
      <c r="B92" s="17"/>
      <c r="C92" s="8"/>
      <c r="D92" s="8"/>
      <c r="E92" s="33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23.25" customHeight="1" x14ac:dyDescent="0.45">
      <c r="A93" s="8"/>
      <c r="B93" s="17"/>
      <c r="C93" s="8"/>
      <c r="D93" s="8"/>
      <c r="E93" s="33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23.25" customHeight="1" x14ac:dyDescent="0.45">
      <c r="A94" s="8"/>
      <c r="B94" s="17"/>
      <c r="C94" s="8"/>
      <c r="D94" s="8"/>
      <c r="E94" s="33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23.25" customHeight="1" x14ac:dyDescent="0.45">
      <c r="A95" s="8"/>
      <c r="B95" s="17"/>
      <c r="C95" s="8"/>
      <c r="D95" s="8"/>
      <c r="E95" s="33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23.25" customHeight="1" x14ac:dyDescent="0.45">
      <c r="A96" s="8"/>
      <c r="B96" s="17"/>
      <c r="C96" s="8"/>
      <c r="D96" s="8"/>
      <c r="E96" s="33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23.25" customHeight="1" x14ac:dyDescent="0.45">
      <c r="A97" s="8"/>
      <c r="B97" s="17"/>
      <c r="C97" s="8"/>
      <c r="D97" s="8"/>
      <c r="E97" s="33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23.25" customHeight="1" x14ac:dyDescent="0.45">
      <c r="A98" s="8"/>
      <c r="B98" s="17"/>
      <c r="C98" s="8"/>
      <c r="D98" s="8"/>
      <c r="E98" s="33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23.25" customHeight="1" x14ac:dyDescent="0.45">
      <c r="A99" s="8"/>
      <c r="B99" s="17"/>
      <c r="C99" s="8"/>
      <c r="D99" s="8"/>
      <c r="E99" s="33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23.25" customHeight="1" x14ac:dyDescent="0.45">
      <c r="A100" s="8"/>
      <c r="B100" s="17"/>
      <c r="C100" s="8"/>
      <c r="D100" s="8"/>
      <c r="E100" s="33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23.25" customHeight="1" x14ac:dyDescent="0.45">
      <c r="A101" s="8"/>
      <c r="B101" s="17"/>
      <c r="C101" s="8"/>
      <c r="D101" s="8"/>
      <c r="E101" s="33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23.25" customHeight="1" x14ac:dyDescent="0.45">
      <c r="A102" s="8"/>
      <c r="B102" s="17"/>
      <c r="C102" s="8"/>
      <c r="D102" s="8"/>
      <c r="E102" s="33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23.25" customHeight="1" x14ac:dyDescent="0.45">
      <c r="A103" s="8"/>
      <c r="B103" s="17"/>
      <c r="C103" s="8"/>
      <c r="D103" s="8"/>
      <c r="E103" s="33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23.25" customHeight="1" x14ac:dyDescent="0.45">
      <c r="A104" s="8"/>
      <c r="B104" s="17"/>
      <c r="C104" s="8"/>
      <c r="D104" s="8"/>
      <c r="E104" s="33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23.25" customHeight="1" x14ac:dyDescent="0.45">
      <c r="A105" s="8"/>
      <c r="B105" s="17"/>
      <c r="C105" s="8"/>
      <c r="D105" s="8"/>
      <c r="E105" s="33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23.25" customHeight="1" x14ac:dyDescent="0.45">
      <c r="A106" s="8"/>
      <c r="B106" s="17"/>
      <c r="C106" s="8"/>
      <c r="D106" s="8"/>
      <c r="E106" s="33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23.25" customHeight="1" x14ac:dyDescent="0.45">
      <c r="A107" s="8"/>
      <c r="B107" s="17"/>
      <c r="C107" s="8"/>
      <c r="D107" s="8"/>
      <c r="E107" s="33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23.25" customHeight="1" x14ac:dyDescent="0.45">
      <c r="A108" s="8"/>
      <c r="B108" s="17"/>
      <c r="C108" s="8"/>
      <c r="D108" s="8"/>
      <c r="E108" s="33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23.25" customHeight="1" x14ac:dyDescent="0.45">
      <c r="A109" s="8"/>
      <c r="B109" s="17"/>
      <c r="C109" s="8"/>
      <c r="D109" s="8"/>
      <c r="E109" s="33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23.25" customHeight="1" x14ac:dyDescent="0.45">
      <c r="A110" s="8"/>
      <c r="B110" s="17"/>
      <c r="C110" s="8"/>
      <c r="D110" s="8"/>
      <c r="E110" s="33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23.25" customHeight="1" x14ac:dyDescent="0.45">
      <c r="A111" s="8"/>
      <c r="B111" s="17"/>
      <c r="C111" s="8"/>
      <c r="D111" s="8"/>
      <c r="E111" s="33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23.25" customHeight="1" x14ac:dyDescent="0.45">
      <c r="A112" s="8"/>
      <c r="B112" s="17"/>
      <c r="C112" s="8"/>
      <c r="D112" s="8"/>
      <c r="E112" s="33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23.25" customHeight="1" x14ac:dyDescent="0.45">
      <c r="A113" s="8"/>
      <c r="B113" s="17"/>
      <c r="C113" s="8"/>
      <c r="D113" s="8"/>
      <c r="E113" s="33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23.25" customHeight="1" x14ac:dyDescent="0.45">
      <c r="A114" s="8"/>
      <c r="B114" s="17"/>
      <c r="C114" s="8"/>
      <c r="D114" s="8"/>
      <c r="E114" s="33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23.25" customHeight="1" x14ac:dyDescent="0.45">
      <c r="A115" s="8"/>
      <c r="B115" s="17"/>
      <c r="C115" s="8"/>
      <c r="D115" s="8"/>
      <c r="E115" s="33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23.25" customHeight="1" x14ac:dyDescent="0.45">
      <c r="A116" s="8"/>
      <c r="B116" s="17"/>
      <c r="C116" s="8"/>
      <c r="D116" s="8"/>
      <c r="E116" s="33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23.25" customHeight="1" x14ac:dyDescent="0.45">
      <c r="A117" s="8"/>
      <c r="B117" s="17"/>
      <c r="C117" s="8"/>
      <c r="D117" s="8"/>
      <c r="E117" s="33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23.25" customHeight="1" x14ac:dyDescent="0.45">
      <c r="A118" s="8"/>
      <c r="B118" s="17"/>
      <c r="C118" s="8"/>
      <c r="D118" s="8"/>
      <c r="E118" s="33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23.25" customHeight="1" x14ac:dyDescent="0.45">
      <c r="A119" s="8"/>
      <c r="B119" s="17"/>
      <c r="C119" s="8"/>
      <c r="D119" s="8"/>
      <c r="E119" s="33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23.25" customHeight="1" x14ac:dyDescent="0.45">
      <c r="A120" s="8"/>
      <c r="B120" s="17"/>
      <c r="C120" s="8"/>
      <c r="D120" s="8"/>
      <c r="E120" s="33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23.25" customHeight="1" x14ac:dyDescent="0.45">
      <c r="A121" s="8"/>
      <c r="B121" s="17"/>
      <c r="C121" s="8"/>
      <c r="D121" s="8"/>
      <c r="E121" s="33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23.25" customHeight="1" x14ac:dyDescent="0.45">
      <c r="A122" s="8"/>
      <c r="B122" s="17"/>
      <c r="C122" s="8"/>
      <c r="D122" s="8"/>
      <c r="E122" s="33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23.25" customHeight="1" x14ac:dyDescent="0.45">
      <c r="A123" s="8"/>
      <c r="B123" s="17"/>
      <c r="C123" s="8"/>
      <c r="D123" s="8"/>
      <c r="E123" s="33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23.25" customHeight="1" x14ac:dyDescent="0.45">
      <c r="A124" s="8"/>
      <c r="B124" s="17"/>
      <c r="C124" s="8"/>
      <c r="D124" s="8"/>
      <c r="E124" s="33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23.25" customHeight="1" x14ac:dyDescent="0.45">
      <c r="A125" s="8"/>
      <c r="B125" s="17"/>
      <c r="C125" s="8"/>
      <c r="D125" s="8"/>
      <c r="E125" s="33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23.25" customHeight="1" x14ac:dyDescent="0.45">
      <c r="A126" s="8"/>
      <c r="B126" s="17"/>
      <c r="C126" s="8"/>
      <c r="D126" s="8"/>
      <c r="E126" s="33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23.25" customHeight="1" x14ac:dyDescent="0.45">
      <c r="A127" s="8"/>
      <c r="B127" s="17"/>
      <c r="C127" s="8"/>
      <c r="D127" s="8"/>
      <c r="E127" s="33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23.25" customHeight="1" x14ac:dyDescent="0.45">
      <c r="A128" s="8"/>
      <c r="B128" s="17"/>
      <c r="C128" s="8"/>
      <c r="D128" s="8"/>
      <c r="E128" s="33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23.25" customHeight="1" x14ac:dyDescent="0.45">
      <c r="A129" s="8"/>
      <c r="B129" s="17"/>
      <c r="C129" s="8"/>
      <c r="D129" s="8"/>
      <c r="E129" s="33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23.25" customHeight="1" x14ac:dyDescent="0.45">
      <c r="A130" s="8"/>
      <c r="B130" s="17"/>
      <c r="C130" s="8"/>
      <c r="D130" s="8"/>
      <c r="E130" s="33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23.25" customHeight="1" x14ac:dyDescent="0.45">
      <c r="A131" s="8"/>
      <c r="B131" s="17"/>
      <c r="C131" s="8"/>
      <c r="D131" s="8"/>
      <c r="E131" s="33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23.25" customHeight="1" x14ac:dyDescent="0.45">
      <c r="A132" s="8"/>
      <c r="B132" s="17"/>
      <c r="C132" s="8"/>
      <c r="D132" s="8"/>
      <c r="E132" s="33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23.25" customHeight="1" x14ac:dyDescent="0.45">
      <c r="A133" s="8"/>
      <c r="B133" s="17"/>
      <c r="C133" s="8"/>
      <c r="D133" s="8"/>
      <c r="E133" s="33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23.25" customHeight="1" x14ac:dyDescent="0.45">
      <c r="A134" s="8"/>
      <c r="B134" s="17"/>
      <c r="C134" s="8"/>
      <c r="D134" s="8"/>
      <c r="E134" s="33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23.25" customHeight="1" x14ac:dyDescent="0.45">
      <c r="A135" s="8"/>
      <c r="B135" s="17"/>
      <c r="C135" s="8"/>
      <c r="D135" s="8"/>
      <c r="E135" s="33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23.25" customHeight="1" x14ac:dyDescent="0.45">
      <c r="A136" s="8"/>
      <c r="B136" s="17"/>
      <c r="C136" s="8"/>
      <c r="D136" s="8"/>
      <c r="E136" s="33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23.25" customHeight="1" x14ac:dyDescent="0.45">
      <c r="A137" s="8"/>
      <c r="B137" s="17"/>
      <c r="C137" s="8"/>
      <c r="D137" s="8"/>
      <c r="E137" s="33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23.25" customHeight="1" x14ac:dyDescent="0.45">
      <c r="A138" s="8"/>
      <c r="B138" s="17"/>
      <c r="C138" s="8"/>
      <c r="D138" s="8"/>
      <c r="E138" s="33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23.25" customHeight="1" x14ac:dyDescent="0.45">
      <c r="A139" s="8"/>
      <c r="B139" s="17"/>
      <c r="C139" s="8"/>
      <c r="D139" s="8"/>
      <c r="E139" s="33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23.25" customHeight="1" x14ac:dyDescent="0.45">
      <c r="A140" s="8"/>
      <c r="B140" s="17"/>
      <c r="C140" s="8"/>
      <c r="D140" s="8"/>
      <c r="E140" s="33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23.25" customHeight="1" x14ac:dyDescent="0.45">
      <c r="A141" s="8"/>
      <c r="B141" s="17"/>
      <c r="C141" s="8"/>
      <c r="D141" s="8"/>
      <c r="E141" s="33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23.25" customHeight="1" x14ac:dyDescent="0.45">
      <c r="A142" s="8"/>
      <c r="B142" s="17"/>
      <c r="C142" s="8"/>
      <c r="D142" s="8"/>
      <c r="E142" s="33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23.25" customHeight="1" x14ac:dyDescent="0.45">
      <c r="A143" s="8"/>
      <c r="B143" s="17"/>
      <c r="C143" s="8"/>
      <c r="D143" s="8"/>
      <c r="E143" s="33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23.25" customHeight="1" x14ac:dyDescent="0.45">
      <c r="A144" s="8"/>
      <c r="B144" s="17"/>
      <c r="C144" s="8"/>
      <c r="D144" s="8"/>
      <c r="E144" s="33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23.25" customHeight="1" x14ac:dyDescent="0.45">
      <c r="A145" s="8"/>
      <c r="B145" s="17"/>
      <c r="C145" s="8"/>
      <c r="D145" s="8"/>
      <c r="E145" s="33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23.25" customHeight="1" x14ac:dyDescent="0.45">
      <c r="A146" s="8"/>
      <c r="B146" s="17"/>
      <c r="C146" s="8"/>
      <c r="D146" s="8"/>
      <c r="E146" s="33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23.25" customHeight="1" x14ac:dyDescent="0.45">
      <c r="A147" s="8"/>
      <c r="B147" s="17"/>
      <c r="C147" s="8"/>
      <c r="D147" s="8"/>
      <c r="E147" s="33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23.25" customHeight="1" x14ac:dyDescent="0.45">
      <c r="A148" s="8"/>
      <c r="B148" s="17"/>
      <c r="C148" s="8"/>
      <c r="D148" s="8"/>
      <c r="E148" s="33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23.25" customHeight="1" x14ac:dyDescent="0.45">
      <c r="A149" s="8"/>
      <c r="B149" s="17"/>
      <c r="C149" s="8"/>
      <c r="D149" s="8"/>
      <c r="E149" s="33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23.25" customHeight="1" x14ac:dyDescent="0.45">
      <c r="A150" s="8"/>
      <c r="B150" s="17"/>
      <c r="C150" s="8"/>
      <c r="D150" s="8"/>
      <c r="E150" s="33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23.25" customHeight="1" x14ac:dyDescent="0.45">
      <c r="A151" s="8"/>
      <c r="B151" s="17"/>
      <c r="C151" s="8"/>
      <c r="D151" s="8"/>
      <c r="E151" s="33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23.25" customHeight="1" x14ac:dyDescent="0.45">
      <c r="A152" s="8"/>
      <c r="B152" s="17"/>
      <c r="C152" s="8"/>
      <c r="D152" s="8"/>
      <c r="E152" s="33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23.25" customHeight="1" x14ac:dyDescent="0.45">
      <c r="A153" s="8"/>
      <c r="B153" s="17"/>
      <c r="C153" s="8"/>
      <c r="D153" s="8"/>
      <c r="E153" s="33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23.25" customHeight="1" x14ac:dyDescent="0.45">
      <c r="A154" s="8"/>
      <c r="B154" s="17"/>
      <c r="C154" s="8"/>
      <c r="D154" s="8"/>
      <c r="E154" s="33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23.25" customHeight="1" x14ac:dyDescent="0.45">
      <c r="A155" s="8"/>
      <c r="B155" s="17"/>
      <c r="C155" s="8"/>
      <c r="D155" s="8"/>
      <c r="E155" s="33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23.25" customHeight="1" x14ac:dyDescent="0.45">
      <c r="A156" s="8"/>
      <c r="B156" s="17"/>
      <c r="C156" s="8"/>
      <c r="D156" s="8"/>
      <c r="E156" s="33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23.25" customHeight="1" x14ac:dyDescent="0.45">
      <c r="A157" s="8"/>
      <c r="B157" s="17"/>
      <c r="C157" s="8"/>
      <c r="D157" s="8"/>
      <c r="E157" s="33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23.25" customHeight="1" x14ac:dyDescent="0.45">
      <c r="A158" s="8"/>
      <c r="B158" s="17"/>
      <c r="C158" s="8"/>
      <c r="D158" s="8"/>
      <c r="E158" s="33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23.25" customHeight="1" x14ac:dyDescent="0.45">
      <c r="A159" s="8"/>
      <c r="B159" s="17"/>
      <c r="C159" s="8"/>
      <c r="D159" s="8"/>
      <c r="E159" s="33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23.25" customHeight="1" x14ac:dyDescent="0.45">
      <c r="A160" s="8"/>
      <c r="B160" s="17"/>
      <c r="C160" s="8"/>
      <c r="D160" s="8"/>
      <c r="E160" s="33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23.25" customHeight="1" x14ac:dyDescent="0.45">
      <c r="A161" s="8"/>
      <c r="B161" s="17"/>
      <c r="C161" s="8"/>
      <c r="D161" s="8"/>
      <c r="E161" s="33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23.25" customHeight="1" x14ac:dyDescent="0.45">
      <c r="A162" s="8"/>
      <c r="B162" s="17"/>
      <c r="C162" s="8"/>
      <c r="D162" s="8"/>
      <c r="E162" s="33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23.25" customHeight="1" x14ac:dyDescent="0.45">
      <c r="A163" s="8"/>
      <c r="B163" s="17"/>
      <c r="C163" s="8"/>
      <c r="D163" s="8"/>
      <c r="E163" s="33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23.25" customHeight="1" x14ac:dyDescent="0.45">
      <c r="A164" s="8"/>
      <c r="B164" s="17"/>
      <c r="C164" s="8"/>
      <c r="D164" s="8"/>
      <c r="E164" s="33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23.25" customHeight="1" x14ac:dyDescent="0.45">
      <c r="A165" s="8"/>
      <c r="B165" s="17"/>
      <c r="C165" s="8"/>
      <c r="D165" s="8"/>
      <c r="E165" s="33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23.25" customHeight="1" x14ac:dyDescent="0.45">
      <c r="A166" s="8"/>
      <c r="B166" s="17"/>
      <c r="C166" s="8"/>
      <c r="D166" s="8"/>
      <c r="E166" s="33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23.25" customHeight="1" x14ac:dyDescent="0.45">
      <c r="A167" s="8"/>
      <c r="B167" s="17"/>
      <c r="C167" s="8"/>
      <c r="D167" s="8"/>
      <c r="E167" s="33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23.25" customHeight="1" x14ac:dyDescent="0.45">
      <c r="A168" s="8"/>
      <c r="B168" s="17"/>
      <c r="C168" s="8"/>
      <c r="D168" s="8"/>
      <c r="E168" s="33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23.25" customHeight="1" x14ac:dyDescent="0.45">
      <c r="A169" s="8"/>
      <c r="B169" s="17"/>
      <c r="C169" s="8"/>
      <c r="D169" s="8"/>
      <c r="E169" s="33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23.25" customHeight="1" x14ac:dyDescent="0.45">
      <c r="A170" s="8"/>
      <c r="B170" s="17"/>
      <c r="C170" s="8"/>
      <c r="D170" s="8"/>
      <c r="E170" s="33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23.25" customHeight="1" x14ac:dyDescent="0.45">
      <c r="A171" s="8"/>
      <c r="B171" s="17"/>
      <c r="C171" s="8"/>
      <c r="D171" s="8"/>
      <c r="E171" s="33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23.25" customHeight="1" x14ac:dyDescent="0.45">
      <c r="A172" s="8"/>
      <c r="B172" s="17"/>
      <c r="C172" s="8"/>
      <c r="D172" s="8"/>
      <c r="E172" s="33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23.25" customHeight="1" x14ac:dyDescent="0.45">
      <c r="A173" s="8"/>
      <c r="B173" s="17"/>
      <c r="C173" s="8"/>
      <c r="D173" s="8"/>
      <c r="E173" s="33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23.25" customHeight="1" x14ac:dyDescent="0.45">
      <c r="A174" s="8"/>
      <c r="B174" s="17"/>
      <c r="C174" s="8"/>
      <c r="D174" s="8"/>
      <c r="E174" s="33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23.25" customHeight="1" x14ac:dyDescent="0.45">
      <c r="A175" s="8"/>
      <c r="B175" s="17"/>
      <c r="C175" s="8"/>
      <c r="D175" s="8"/>
      <c r="E175" s="33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23.25" customHeight="1" x14ac:dyDescent="0.45">
      <c r="A176" s="8"/>
      <c r="B176" s="17"/>
      <c r="C176" s="8"/>
      <c r="D176" s="8"/>
      <c r="E176" s="33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23.25" customHeight="1" x14ac:dyDescent="0.45">
      <c r="A177" s="8"/>
      <c r="B177" s="17"/>
      <c r="C177" s="8"/>
      <c r="D177" s="8"/>
      <c r="E177" s="33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23.25" customHeight="1" x14ac:dyDescent="0.45">
      <c r="A178" s="8"/>
      <c r="B178" s="17"/>
      <c r="C178" s="8"/>
      <c r="D178" s="8"/>
      <c r="E178" s="33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23.25" customHeight="1" x14ac:dyDescent="0.45">
      <c r="A179" s="8"/>
      <c r="B179" s="17"/>
      <c r="C179" s="8"/>
      <c r="D179" s="8"/>
      <c r="E179" s="33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23.25" customHeight="1" x14ac:dyDescent="0.45">
      <c r="A180" s="8"/>
      <c r="B180" s="17"/>
      <c r="C180" s="8"/>
      <c r="D180" s="8"/>
      <c r="E180" s="33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23.25" customHeight="1" x14ac:dyDescent="0.45">
      <c r="A181" s="8"/>
      <c r="B181" s="17"/>
      <c r="C181" s="8"/>
      <c r="D181" s="8"/>
      <c r="E181" s="33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23.25" customHeight="1" x14ac:dyDescent="0.45">
      <c r="A182" s="8"/>
      <c r="B182" s="17"/>
      <c r="C182" s="8"/>
      <c r="D182" s="8"/>
      <c r="E182" s="33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23.25" customHeight="1" x14ac:dyDescent="0.45">
      <c r="A183" s="8"/>
      <c r="B183" s="17"/>
      <c r="C183" s="8"/>
      <c r="D183" s="8"/>
      <c r="E183" s="33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23.25" customHeight="1" x14ac:dyDescent="0.45">
      <c r="A184" s="8"/>
      <c r="B184" s="17"/>
      <c r="C184" s="8"/>
      <c r="D184" s="8"/>
      <c r="E184" s="33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23.25" customHeight="1" x14ac:dyDescent="0.45">
      <c r="A185" s="8"/>
      <c r="B185" s="17"/>
      <c r="C185" s="8"/>
      <c r="D185" s="8"/>
      <c r="E185" s="33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23.25" customHeight="1" x14ac:dyDescent="0.45">
      <c r="A186" s="8"/>
      <c r="B186" s="17"/>
      <c r="C186" s="8"/>
      <c r="D186" s="8"/>
      <c r="E186" s="33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23.25" customHeight="1" x14ac:dyDescent="0.45">
      <c r="A187" s="8"/>
      <c r="B187" s="17"/>
      <c r="C187" s="8"/>
      <c r="D187" s="8"/>
      <c r="E187" s="33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23.25" customHeight="1" x14ac:dyDescent="0.45">
      <c r="A188" s="8"/>
      <c r="B188" s="17"/>
      <c r="C188" s="8"/>
      <c r="D188" s="8"/>
      <c r="E188" s="33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23.25" customHeight="1" x14ac:dyDescent="0.45">
      <c r="A189" s="8"/>
      <c r="B189" s="17"/>
      <c r="C189" s="8"/>
      <c r="D189" s="8"/>
      <c r="E189" s="33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23.25" customHeight="1" x14ac:dyDescent="0.45">
      <c r="A190" s="8"/>
      <c r="B190" s="17"/>
      <c r="C190" s="8"/>
      <c r="D190" s="8"/>
      <c r="E190" s="33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23.25" customHeight="1" x14ac:dyDescent="0.45">
      <c r="A191" s="8"/>
      <c r="B191" s="17"/>
      <c r="C191" s="8"/>
      <c r="D191" s="8"/>
      <c r="E191" s="33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23.25" customHeight="1" x14ac:dyDescent="0.45">
      <c r="A192" s="8"/>
      <c r="B192" s="17"/>
      <c r="C192" s="8"/>
      <c r="D192" s="8"/>
      <c r="E192" s="33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23.25" customHeight="1" x14ac:dyDescent="0.45">
      <c r="A193" s="8"/>
      <c r="B193" s="17"/>
      <c r="C193" s="8"/>
      <c r="D193" s="8"/>
      <c r="E193" s="33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23.25" customHeight="1" x14ac:dyDescent="0.45">
      <c r="A194" s="8"/>
      <c r="B194" s="17"/>
      <c r="C194" s="8"/>
      <c r="D194" s="8"/>
      <c r="E194" s="33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23.25" customHeight="1" x14ac:dyDescent="0.45">
      <c r="A195" s="8"/>
      <c r="B195" s="17"/>
      <c r="C195" s="8"/>
      <c r="D195" s="8"/>
      <c r="E195" s="33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23.25" customHeight="1" x14ac:dyDescent="0.45">
      <c r="A196" s="8"/>
      <c r="B196" s="17"/>
      <c r="C196" s="8"/>
      <c r="D196" s="8"/>
      <c r="E196" s="33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23.25" customHeight="1" x14ac:dyDescent="0.45">
      <c r="A197" s="8"/>
      <c r="B197" s="17"/>
      <c r="C197" s="8"/>
      <c r="D197" s="8"/>
      <c r="E197" s="33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23.25" customHeight="1" x14ac:dyDescent="0.45">
      <c r="A198" s="8"/>
      <c r="B198" s="17"/>
      <c r="C198" s="8"/>
      <c r="D198" s="8"/>
      <c r="E198" s="33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23.25" customHeight="1" x14ac:dyDescent="0.45">
      <c r="A199" s="8"/>
      <c r="B199" s="17"/>
      <c r="C199" s="8"/>
      <c r="D199" s="8"/>
      <c r="E199" s="33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23.25" customHeight="1" x14ac:dyDescent="0.45">
      <c r="A200" s="8"/>
      <c r="B200" s="17"/>
      <c r="C200" s="8"/>
      <c r="D200" s="8"/>
      <c r="E200" s="33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23.25" customHeight="1" x14ac:dyDescent="0.45">
      <c r="A201" s="8"/>
      <c r="B201" s="17"/>
      <c r="C201" s="8"/>
      <c r="D201" s="8"/>
      <c r="E201" s="33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23.25" customHeight="1" x14ac:dyDescent="0.45">
      <c r="A202" s="8"/>
      <c r="B202" s="17"/>
      <c r="C202" s="8"/>
      <c r="D202" s="8"/>
      <c r="E202" s="33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23.25" customHeight="1" x14ac:dyDescent="0.45">
      <c r="A203" s="8"/>
      <c r="B203" s="17"/>
      <c r="C203" s="8"/>
      <c r="D203" s="8"/>
      <c r="E203" s="33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23.25" customHeight="1" x14ac:dyDescent="0.45">
      <c r="A204" s="8"/>
      <c r="B204" s="17"/>
      <c r="C204" s="8"/>
      <c r="D204" s="8"/>
      <c r="E204" s="33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23.25" customHeight="1" x14ac:dyDescent="0.45">
      <c r="A205" s="8"/>
      <c r="B205" s="17"/>
      <c r="C205" s="8"/>
      <c r="D205" s="8"/>
      <c r="E205" s="33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23.25" customHeight="1" x14ac:dyDescent="0.45">
      <c r="A206" s="8"/>
      <c r="B206" s="17"/>
      <c r="C206" s="8"/>
      <c r="D206" s="8"/>
      <c r="E206" s="33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23.25" customHeight="1" x14ac:dyDescent="0.45">
      <c r="A207" s="8"/>
      <c r="B207" s="17"/>
      <c r="C207" s="8"/>
      <c r="D207" s="8"/>
      <c r="E207" s="33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23.25" customHeight="1" x14ac:dyDescent="0.45">
      <c r="A208" s="8"/>
      <c r="B208" s="17"/>
      <c r="C208" s="8"/>
      <c r="D208" s="8"/>
      <c r="E208" s="33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23.25" customHeight="1" x14ac:dyDescent="0.45">
      <c r="A209" s="8"/>
      <c r="B209" s="17"/>
      <c r="C209" s="8"/>
      <c r="D209" s="8"/>
      <c r="E209" s="33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23.25" customHeight="1" x14ac:dyDescent="0.45">
      <c r="A210" s="8"/>
      <c r="B210" s="17"/>
      <c r="C210" s="8"/>
      <c r="D210" s="8"/>
      <c r="E210" s="33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23.25" customHeight="1" x14ac:dyDescent="0.45">
      <c r="A211" s="8"/>
      <c r="B211" s="17"/>
      <c r="C211" s="8"/>
      <c r="D211" s="8"/>
      <c r="E211" s="33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23.25" customHeight="1" x14ac:dyDescent="0.45">
      <c r="A212" s="8"/>
      <c r="B212" s="17"/>
      <c r="C212" s="8"/>
      <c r="D212" s="8"/>
      <c r="E212" s="33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23.25" customHeight="1" x14ac:dyDescent="0.45">
      <c r="A213" s="8"/>
      <c r="B213" s="17"/>
      <c r="C213" s="8"/>
      <c r="D213" s="8"/>
      <c r="E213" s="33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23.25" customHeight="1" x14ac:dyDescent="0.45">
      <c r="A214" s="8"/>
      <c r="B214" s="17"/>
      <c r="C214" s="8"/>
      <c r="D214" s="8"/>
      <c r="E214" s="33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23.25" customHeight="1" x14ac:dyDescent="0.45">
      <c r="A215" s="8"/>
      <c r="B215" s="17"/>
      <c r="C215" s="8"/>
      <c r="D215" s="8"/>
      <c r="E215" s="33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23.25" customHeight="1" x14ac:dyDescent="0.45">
      <c r="A216" s="8"/>
      <c r="B216" s="17"/>
      <c r="C216" s="8"/>
      <c r="D216" s="8"/>
      <c r="E216" s="33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23.25" customHeight="1" x14ac:dyDescent="0.45">
      <c r="A217" s="8"/>
      <c r="B217" s="17"/>
      <c r="C217" s="8"/>
      <c r="D217" s="8"/>
      <c r="E217" s="33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23.25" customHeight="1" x14ac:dyDescent="0.45">
      <c r="A218" s="8"/>
      <c r="B218" s="17"/>
      <c r="C218" s="8"/>
      <c r="D218" s="8"/>
      <c r="E218" s="33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23.25" customHeight="1" x14ac:dyDescent="0.45">
      <c r="A219" s="8"/>
      <c r="B219" s="17"/>
      <c r="C219" s="8"/>
      <c r="D219" s="8"/>
      <c r="E219" s="33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23.25" customHeight="1" x14ac:dyDescent="0.45">
      <c r="A220" s="8"/>
      <c r="B220" s="17"/>
      <c r="C220" s="8"/>
      <c r="D220" s="8"/>
      <c r="E220" s="33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23.25" customHeight="1" x14ac:dyDescent="0.45">
      <c r="A221" s="8"/>
      <c r="B221" s="17"/>
      <c r="C221" s="8"/>
      <c r="D221" s="8"/>
      <c r="E221" s="33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23.25" customHeight="1" x14ac:dyDescent="0.45">
      <c r="A222" s="8"/>
      <c r="B222" s="17"/>
      <c r="C222" s="8"/>
      <c r="D222" s="8"/>
      <c r="E222" s="33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23.25" customHeight="1" x14ac:dyDescent="0.45">
      <c r="A223" s="8"/>
      <c r="B223" s="17"/>
      <c r="C223" s="8"/>
      <c r="D223" s="8"/>
      <c r="E223" s="33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23.25" customHeight="1" x14ac:dyDescent="0.45">
      <c r="A224" s="8"/>
      <c r="B224" s="17"/>
      <c r="C224" s="8"/>
      <c r="D224" s="8"/>
      <c r="E224" s="33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23.25" customHeight="1" x14ac:dyDescent="0.45">
      <c r="A225" s="8"/>
      <c r="B225" s="17"/>
      <c r="C225" s="8"/>
      <c r="D225" s="8"/>
      <c r="E225" s="33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23.25" customHeight="1" x14ac:dyDescent="0.45">
      <c r="A226" s="8"/>
      <c r="B226" s="17"/>
      <c r="C226" s="8"/>
      <c r="D226" s="8"/>
      <c r="E226" s="33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23.25" customHeight="1" x14ac:dyDescent="0.45">
      <c r="A227" s="8"/>
      <c r="B227" s="17"/>
      <c r="C227" s="8"/>
      <c r="D227" s="8"/>
      <c r="E227" s="33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23.25" customHeight="1" x14ac:dyDescent="0.45">
      <c r="A228" s="8"/>
      <c r="B228" s="17"/>
      <c r="C228" s="8"/>
      <c r="D228" s="8"/>
      <c r="E228" s="33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23.25" customHeight="1" x14ac:dyDescent="0.45">
      <c r="A229" s="8"/>
      <c r="B229" s="17"/>
      <c r="C229" s="8"/>
      <c r="D229" s="8"/>
      <c r="E229" s="33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23.25" customHeight="1" x14ac:dyDescent="0.45">
      <c r="A230" s="8"/>
      <c r="B230" s="17"/>
      <c r="C230" s="8"/>
      <c r="D230" s="8"/>
      <c r="E230" s="33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23.25" customHeight="1" x14ac:dyDescent="0.45">
      <c r="A231" s="8"/>
      <c r="B231" s="17"/>
      <c r="C231" s="8"/>
      <c r="D231" s="8"/>
      <c r="E231" s="33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23.25" customHeight="1" x14ac:dyDescent="0.45">
      <c r="A232" s="8"/>
      <c r="B232" s="17"/>
      <c r="C232" s="8"/>
      <c r="D232" s="8"/>
      <c r="E232" s="33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23.25" customHeight="1" x14ac:dyDescent="0.45">
      <c r="A233" s="8"/>
      <c r="B233" s="17"/>
      <c r="C233" s="8"/>
      <c r="D233" s="8"/>
      <c r="E233" s="33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23.25" customHeight="1" x14ac:dyDescent="0.45">
      <c r="A234" s="8"/>
      <c r="B234" s="17"/>
      <c r="C234" s="8"/>
      <c r="D234" s="8"/>
      <c r="E234" s="33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23.25" customHeight="1" x14ac:dyDescent="0.45">
      <c r="A235" s="8"/>
      <c r="B235" s="17"/>
      <c r="C235" s="8"/>
      <c r="D235" s="8"/>
      <c r="E235" s="33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23.25" customHeight="1" x14ac:dyDescent="0.45">
      <c r="A236" s="8"/>
      <c r="B236" s="17"/>
      <c r="C236" s="8"/>
      <c r="D236" s="8"/>
      <c r="E236" s="33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23.25" customHeight="1" x14ac:dyDescent="0.45">
      <c r="A237" s="8"/>
      <c r="B237" s="17"/>
      <c r="C237" s="8"/>
      <c r="D237" s="8"/>
      <c r="E237" s="33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23.25" customHeight="1" x14ac:dyDescent="0.45">
      <c r="A238" s="8"/>
      <c r="B238" s="17"/>
      <c r="C238" s="8"/>
      <c r="D238" s="8"/>
      <c r="E238" s="33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23.25" customHeight="1" x14ac:dyDescent="0.45">
      <c r="A239" s="8"/>
      <c r="B239" s="17"/>
      <c r="C239" s="8"/>
      <c r="D239" s="8"/>
      <c r="E239" s="33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23.25" customHeight="1" x14ac:dyDescent="0.45">
      <c r="A240" s="8"/>
      <c r="B240" s="17"/>
      <c r="C240" s="8"/>
      <c r="D240" s="8"/>
      <c r="E240" s="33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23.25" customHeight="1" x14ac:dyDescent="0.45">
      <c r="A241" s="8"/>
      <c r="B241" s="17"/>
      <c r="C241" s="8"/>
      <c r="D241" s="8"/>
      <c r="E241" s="33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23.25" customHeight="1" x14ac:dyDescent="0.45">
      <c r="A242" s="8"/>
      <c r="B242" s="17"/>
      <c r="C242" s="8"/>
      <c r="D242" s="8"/>
      <c r="E242" s="33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23.25" customHeight="1" x14ac:dyDescent="0.45">
      <c r="A243" s="8"/>
      <c r="B243" s="17"/>
      <c r="C243" s="8"/>
      <c r="D243" s="8"/>
      <c r="E243" s="33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23.25" customHeight="1" x14ac:dyDescent="0.45">
      <c r="A244" s="8"/>
      <c r="B244" s="17"/>
      <c r="C244" s="8"/>
      <c r="D244" s="8"/>
      <c r="E244" s="33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23.25" customHeight="1" x14ac:dyDescent="0.45">
      <c r="A245" s="8"/>
      <c r="B245" s="17"/>
      <c r="C245" s="8"/>
      <c r="D245" s="8"/>
      <c r="E245" s="33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23.25" customHeight="1" x14ac:dyDescent="0.45">
      <c r="A246" s="8"/>
      <c r="B246" s="17"/>
      <c r="C246" s="8"/>
      <c r="D246" s="8"/>
      <c r="E246" s="33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23.25" customHeight="1" x14ac:dyDescent="0.45">
      <c r="A247" s="8"/>
      <c r="B247" s="17"/>
      <c r="C247" s="8"/>
      <c r="D247" s="8"/>
      <c r="E247" s="33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23.25" customHeight="1" x14ac:dyDescent="0.45">
      <c r="A248" s="8"/>
      <c r="B248" s="17"/>
      <c r="C248" s="8"/>
      <c r="D248" s="8"/>
      <c r="E248" s="33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23.25" customHeight="1" x14ac:dyDescent="0.45">
      <c r="A249" s="8"/>
      <c r="B249" s="17"/>
      <c r="C249" s="8"/>
      <c r="D249" s="8"/>
      <c r="E249" s="33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23.25" customHeight="1" x14ac:dyDescent="0.45">
      <c r="A250" s="8"/>
      <c r="B250" s="17"/>
      <c r="C250" s="8"/>
      <c r="D250" s="8"/>
      <c r="E250" s="33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23.25" customHeight="1" x14ac:dyDescent="0.45">
      <c r="A251" s="8"/>
      <c r="B251" s="17"/>
      <c r="C251" s="8"/>
      <c r="D251" s="8"/>
      <c r="E251" s="33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23.25" customHeight="1" x14ac:dyDescent="0.45">
      <c r="A252" s="8"/>
      <c r="B252" s="17"/>
      <c r="C252" s="8"/>
      <c r="D252" s="8"/>
      <c r="E252" s="33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23.25" customHeight="1" x14ac:dyDescent="0.45">
      <c r="A253" s="8"/>
      <c r="B253" s="17"/>
      <c r="C253" s="8"/>
      <c r="D253" s="8"/>
      <c r="E253" s="33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23.25" customHeight="1" x14ac:dyDescent="0.45">
      <c r="A254" s="8"/>
      <c r="B254" s="17"/>
      <c r="C254" s="8"/>
      <c r="D254" s="8"/>
      <c r="E254" s="33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23.25" customHeight="1" x14ac:dyDescent="0.45">
      <c r="A255" s="8"/>
      <c r="B255" s="17"/>
      <c r="C255" s="8"/>
      <c r="D255" s="8"/>
      <c r="E255" s="33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23.25" customHeight="1" x14ac:dyDescent="0.45">
      <c r="A256" s="8"/>
      <c r="B256" s="17"/>
      <c r="C256" s="8"/>
      <c r="D256" s="8"/>
      <c r="E256" s="33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23.25" customHeight="1" x14ac:dyDescent="0.45">
      <c r="A257" s="8"/>
      <c r="B257" s="17"/>
      <c r="C257" s="8"/>
      <c r="D257" s="8"/>
      <c r="E257" s="33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23.25" customHeight="1" x14ac:dyDescent="0.45">
      <c r="A258" s="8"/>
      <c r="B258" s="17"/>
      <c r="C258" s="8"/>
      <c r="D258" s="8"/>
      <c r="E258" s="33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23.25" customHeight="1" x14ac:dyDescent="0.45">
      <c r="A259" s="8"/>
      <c r="B259" s="17"/>
      <c r="C259" s="8"/>
      <c r="D259" s="8"/>
      <c r="E259" s="33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23.25" customHeight="1" x14ac:dyDescent="0.45">
      <c r="A260" s="8"/>
      <c r="B260" s="17"/>
      <c r="C260" s="8"/>
      <c r="D260" s="8"/>
      <c r="E260" s="33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23.25" customHeight="1" x14ac:dyDescent="0.45">
      <c r="A261" s="8"/>
      <c r="B261" s="17"/>
      <c r="C261" s="8"/>
      <c r="D261" s="8"/>
      <c r="E261" s="33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23.25" customHeight="1" x14ac:dyDescent="0.45">
      <c r="A262" s="8"/>
      <c r="B262" s="17"/>
      <c r="C262" s="8"/>
      <c r="D262" s="8"/>
      <c r="E262" s="33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23.25" customHeight="1" x14ac:dyDescent="0.45">
      <c r="A263" s="8"/>
      <c r="B263" s="17"/>
      <c r="C263" s="8"/>
      <c r="D263" s="8"/>
      <c r="E263" s="33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23.25" customHeight="1" x14ac:dyDescent="0.45">
      <c r="A264" s="8"/>
      <c r="B264" s="17"/>
      <c r="C264" s="8"/>
      <c r="D264" s="8"/>
      <c r="E264" s="33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23.25" customHeight="1" x14ac:dyDescent="0.45">
      <c r="A265" s="8"/>
      <c r="B265" s="17"/>
      <c r="C265" s="8"/>
      <c r="D265" s="8"/>
      <c r="E265" s="33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23.25" customHeight="1" x14ac:dyDescent="0.45">
      <c r="A266" s="8"/>
      <c r="B266" s="17"/>
      <c r="C266" s="8"/>
      <c r="D266" s="8"/>
      <c r="E266" s="33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23.25" customHeight="1" x14ac:dyDescent="0.45">
      <c r="A267" s="8"/>
      <c r="B267" s="17"/>
      <c r="C267" s="8"/>
      <c r="D267" s="8"/>
      <c r="E267" s="33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23.25" customHeight="1" x14ac:dyDescent="0.45">
      <c r="A268" s="8"/>
      <c r="B268" s="17"/>
      <c r="C268" s="8"/>
      <c r="D268" s="8"/>
      <c r="E268" s="33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23.25" customHeight="1" x14ac:dyDescent="0.45">
      <c r="A269" s="8"/>
      <c r="B269" s="17"/>
      <c r="C269" s="8"/>
      <c r="D269" s="8"/>
      <c r="E269" s="33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23.25" customHeight="1" x14ac:dyDescent="0.45">
      <c r="A270" s="8"/>
      <c r="B270" s="17"/>
      <c r="C270" s="8"/>
      <c r="D270" s="8"/>
      <c r="E270" s="33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23.25" customHeight="1" x14ac:dyDescent="0.45">
      <c r="A271" s="8"/>
      <c r="B271" s="17"/>
      <c r="C271" s="8"/>
      <c r="D271" s="8"/>
      <c r="E271" s="33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23.25" customHeight="1" x14ac:dyDescent="0.45">
      <c r="A272" s="8"/>
      <c r="B272" s="17"/>
      <c r="C272" s="8"/>
      <c r="D272" s="8"/>
      <c r="E272" s="33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23.25" customHeight="1" x14ac:dyDescent="0.45">
      <c r="A273" s="8"/>
      <c r="B273" s="17"/>
      <c r="C273" s="8"/>
      <c r="D273" s="8"/>
      <c r="E273" s="33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23.25" customHeight="1" x14ac:dyDescent="0.45">
      <c r="A274" s="8"/>
      <c r="B274" s="17"/>
      <c r="C274" s="8"/>
      <c r="D274" s="8"/>
      <c r="E274" s="33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23.25" customHeight="1" x14ac:dyDescent="0.45">
      <c r="A275" s="8"/>
      <c r="B275" s="17"/>
      <c r="C275" s="8"/>
      <c r="D275" s="8"/>
      <c r="E275" s="33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23.25" customHeight="1" x14ac:dyDescent="0.45">
      <c r="A276" s="8"/>
      <c r="B276" s="17"/>
      <c r="C276" s="8"/>
      <c r="D276" s="8"/>
      <c r="E276" s="33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23.25" customHeight="1" x14ac:dyDescent="0.45">
      <c r="A277" s="8"/>
      <c r="B277" s="17"/>
      <c r="C277" s="8"/>
      <c r="D277" s="8"/>
      <c r="E277" s="33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23.25" customHeight="1" x14ac:dyDescent="0.45">
      <c r="A278" s="8"/>
      <c r="B278" s="17"/>
      <c r="C278" s="8"/>
      <c r="D278" s="8"/>
      <c r="E278" s="33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23.25" customHeight="1" x14ac:dyDescent="0.45">
      <c r="A279" s="8"/>
      <c r="B279" s="17"/>
      <c r="C279" s="8"/>
      <c r="D279" s="8"/>
      <c r="E279" s="33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23.25" customHeight="1" x14ac:dyDescent="0.45">
      <c r="A280" s="8"/>
      <c r="B280" s="17"/>
      <c r="C280" s="8"/>
      <c r="D280" s="8"/>
      <c r="E280" s="33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23.25" customHeight="1" x14ac:dyDescent="0.45">
      <c r="A281" s="8"/>
      <c r="B281" s="17"/>
      <c r="C281" s="8"/>
      <c r="D281" s="8"/>
      <c r="E281" s="33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23.25" customHeight="1" x14ac:dyDescent="0.45">
      <c r="A282" s="8"/>
      <c r="B282" s="17"/>
      <c r="C282" s="8"/>
      <c r="D282" s="8"/>
      <c r="E282" s="33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23.25" customHeight="1" x14ac:dyDescent="0.45">
      <c r="A283" s="8"/>
      <c r="B283" s="17"/>
      <c r="C283" s="8"/>
      <c r="D283" s="8"/>
      <c r="E283" s="33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23.25" customHeight="1" x14ac:dyDescent="0.45">
      <c r="A284" s="8"/>
      <c r="B284" s="17"/>
      <c r="C284" s="8"/>
      <c r="D284" s="8"/>
      <c r="E284" s="33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23.25" customHeight="1" x14ac:dyDescent="0.45">
      <c r="A285" s="8"/>
      <c r="B285" s="17"/>
      <c r="C285" s="8"/>
      <c r="D285" s="8"/>
      <c r="E285" s="33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23.25" customHeight="1" x14ac:dyDescent="0.45">
      <c r="A286" s="8"/>
      <c r="B286" s="17"/>
      <c r="C286" s="8"/>
      <c r="D286" s="8"/>
      <c r="E286" s="33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23.25" customHeight="1" x14ac:dyDescent="0.45">
      <c r="A287" s="8"/>
      <c r="B287" s="17"/>
      <c r="C287" s="8"/>
      <c r="D287" s="8"/>
      <c r="E287" s="33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23.25" customHeight="1" x14ac:dyDescent="0.45">
      <c r="A288" s="8"/>
      <c r="B288" s="17"/>
      <c r="C288" s="8"/>
      <c r="D288" s="8"/>
      <c r="E288" s="33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23.25" customHeight="1" x14ac:dyDescent="0.45">
      <c r="A289" s="8"/>
      <c r="B289" s="17"/>
      <c r="C289" s="8"/>
      <c r="D289" s="8"/>
      <c r="E289" s="33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23.25" customHeight="1" x14ac:dyDescent="0.45">
      <c r="A290" s="8"/>
      <c r="B290" s="17"/>
      <c r="C290" s="8"/>
      <c r="D290" s="8"/>
      <c r="E290" s="33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23.25" customHeight="1" x14ac:dyDescent="0.45">
      <c r="A291" s="8"/>
      <c r="B291" s="17"/>
      <c r="C291" s="8"/>
      <c r="D291" s="8"/>
      <c r="E291" s="33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23.25" customHeight="1" x14ac:dyDescent="0.45">
      <c r="A292" s="8"/>
      <c r="B292" s="17"/>
      <c r="C292" s="8"/>
      <c r="D292" s="8"/>
      <c r="E292" s="33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23.25" customHeight="1" x14ac:dyDescent="0.45">
      <c r="A293" s="8"/>
      <c r="B293" s="17"/>
      <c r="C293" s="8"/>
      <c r="D293" s="8"/>
      <c r="E293" s="33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23.25" customHeight="1" x14ac:dyDescent="0.45">
      <c r="A294" s="8"/>
      <c r="B294" s="17"/>
      <c r="C294" s="8"/>
      <c r="D294" s="8"/>
      <c r="E294" s="33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23.25" customHeight="1" x14ac:dyDescent="0.45">
      <c r="A295" s="8"/>
      <c r="B295" s="17"/>
      <c r="C295" s="8"/>
      <c r="D295" s="8"/>
      <c r="E295" s="33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23.25" customHeight="1" x14ac:dyDescent="0.45">
      <c r="A296" s="8"/>
      <c r="B296" s="17"/>
      <c r="C296" s="8"/>
      <c r="D296" s="8"/>
      <c r="E296" s="33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23.25" customHeight="1" x14ac:dyDescent="0.45">
      <c r="A297" s="8"/>
      <c r="B297" s="17"/>
      <c r="C297" s="8"/>
      <c r="D297" s="8"/>
      <c r="E297" s="33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23.25" customHeight="1" x14ac:dyDescent="0.45">
      <c r="A298" s="8"/>
      <c r="B298" s="17"/>
      <c r="C298" s="8"/>
      <c r="D298" s="8"/>
      <c r="E298" s="33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23.25" customHeight="1" x14ac:dyDescent="0.45">
      <c r="A299" s="8"/>
      <c r="B299" s="17"/>
      <c r="C299" s="8"/>
      <c r="D299" s="8"/>
      <c r="E299" s="33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23.25" customHeight="1" x14ac:dyDescent="0.45">
      <c r="A300" s="8"/>
      <c r="B300" s="17"/>
      <c r="C300" s="8"/>
      <c r="D300" s="8"/>
      <c r="E300" s="33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23.25" customHeight="1" x14ac:dyDescent="0.45">
      <c r="A301" s="8"/>
      <c r="B301" s="17"/>
      <c r="C301" s="8"/>
      <c r="D301" s="8"/>
      <c r="E301" s="33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23.25" customHeight="1" x14ac:dyDescent="0.45">
      <c r="A302" s="8"/>
      <c r="B302" s="17"/>
      <c r="C302" s="8"/>
      <c r="D302" s="8"/>
      <c r="E302" s="33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23.25" customHeight="1" x14ac:dyDescent="0.45">
      <c r="A303" s="8"/>
      <c r="B303" s="17"/>
      <c r="C303" s="8"/>
      <c r="D303" s="8"/>
      <c r="E303" s="33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23.25" customHeight="1" x14ac:dyDescent="0.45">
      <c r="A304" s="8"/>
      <c r="B304" s="17"/>
      <c r="C304" s="8"/>
      <c r="D304" s="8"/>
      <c r="E304" s="33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23.25" customHeight="1" x14ac:dyDescent="0.45">
      <c r="A305" s="8"/>
      <c r="B305" s="17"/>
      <c r="C305" s="8"/>
      <c r="D305" s="8"/>
      <c r="E305" s="33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23.25" customHeight="1" x14ac:dyDescent="0.45">
      <c r="A306" s="8"/>
      <c r="B306" s="17"/>
      <c r="C306" s="8"/>
      <c r="D306" s="8"/>
      <c r="E306" s="33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23.25" customHeight="1" x14ac:dyDescent="0.45">
      <c r="A307" s="8"/>
      <c r="B307" s="17"/>
      <c r="C307" s="8"/>
      <c r="D307" s="8"/>
      <c r="E307" s="33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23.25" customHeight="1" x14ac:dyDescent="0.45">
      <c r="A308" s="8"/>
      <c r="B308" s="17"/>
      <c r="C308" s="8"/>
      <c r="D308" s="8"/>
      <c r="E308" s="33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23.25" customHeight="1" x14ac:dyDescent="0.45">
      <c r="A309" s="8"/>
      <c r="B309" s="17"/>
      <c r="C309" s="8"/>
      <c r="D309" s="8"/>
      <c r="E309" s="33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23.25" customHeight="1" x14ac:dyDescent="0.45">
      <c r="A310" s="8"/>
      <c r="B310" s="17"/>
      <c r="C310" s="8"/>
      <c r="D310" s="8"/>
      <c r="E310" s="33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23.25" customHeight="1" x14ac:dyDescent="0.45">
      <c r="A311" s="8"/>
      <c r="B311" s="17"/>
      <c r="C311" s="8"/>
      <c r="D311" s="8"/>
      <c r="E311" s="33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23.25" customHeight="1" x14ac:dyDescent="0.45">
      <c r="A312" s="8"/>
      <c r="B312" s="17"/>
      <c r="C312" s="8"/>
      <c r="D312" s="8"/>
      <c r="E312" s="33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23.25" customHeight="1" x14ac:dyDescent="0.45">
      <c r="A313" s="8"/>
      <c r="B313" s="17"/>
      <c r="C313" s="8"/>
      <c r="D313" s="8"/>
      <c r="E313" s="33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23.25" customHeight="1" x14ac:dyDescent="0.45">
      <c r="A314" s="8"/>
      <c r="B314" s="17"/>
      <c r="C314" s="8"/>
      <c r="D314" s="8"/>
      <c r="E314" s="33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23.25" customHeight="1" x14ac:dyDescent="0.45">
      <c r="A315" s="8"/>
      <c r="B315" s="17"/>
      <c r="C315" s="8"/>
      <c r="D315" s="8"/>
      <c r="E315" s="33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23.25" customHeight="1" x14ac:dyDescent="0.45">
      <c r="A316" s="8"/>
      <c r="B316" s="17"/>
      <c r="C316" s="8"/>
      <c r="D316" s="8"/>
      <c r="E316" s="33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23.25" customHeight="1" x14ac:dyDescent="0.45">
      <c r="A317" s="8"/>
      <c r="B317" s="17"/>
      <c r="C317" s="8"/>
      <c r="D317" s="8"/>
      <c r="E317" s="33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23.25" customHeight="1" x14ac:dyDescent="0.45">
      <c r="A318" s="8"/>
      <c r="B318" s="17"/>
      <c r="C318" s="8"/>
      <c r="D318" s="8"/>
      <c r="E318" s="33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23.25" customHeight="1" x14ac:dyDescent="0.45">
      <c r="A319" s="8"/>
      <c r="B319" s="17"/>
      <c r="C319" s="8"/>
      <c r="D319" s="8"/>
      <c r="E319" s="33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23.25" customHeight="1" x14ac:dyDescent="0.45">
      <c r="A320" s="8"/>
      <c r="B320" s="17"/>
      <c r="C320" s="8"/>
      <c r="D320" s="8"/>
      <c r="E320" s="33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23.25" customHeight="1" x14ac:dyDescent="0.45">
      <c r="A321" s="8"/>
      <c r="B321" s="17"/>
      <c r="C321" s="8"/>
      <c r="D321" s="8"/>
      <c r="E321" s="33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23.25" customHeight="1" x14ac:dyDescent="0.45">
      <c r="A322" s="8"/>
      <c r="B322" s="17"/>
      <c r="C322" s="8"/>
      <c r="D322" s="8"/>
      <c r="E322" s="33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23.25" customHeight="1" x14ac:dyDescent="0.45">
      <c r="A323" s="8"/>
      <c r="B323" s="17"/>
      <c r="C323" s="8"/>
      <c r="D323" s="8"/>
      <c r="E323" s="33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23.25" customHeight="1" x14ac:dyDescent="0.45">
      <c r="A324" s="8"/>
      <c r="B324" s="17"/>
      <c r="C324" s="8"/>
      <c r="D324" s="8"/>
      <c r="E324" s="33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23.25" customHeight="1" x14ac:dyDescent="0.45">
      <c r="A325" s="8"/>
      <c r="B325" s="17"/>
      <c r="C325" s="8"/>
      <c r="D325" s="8"/>
      <c r="E325" s="33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23.25" customHeight="1" x14ac:dyDescent="0.45">
      <c r="A326" s="8"/>
      <c r="B326" s="17"/>
      <c r="C326" s="8"/>
      <c r="D326" s="8"/>
      <c r="E326" s="33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23.25" customHeight="1" x14ac:dyDescent="0.45">
      <c r="A327" s="8"/>
      <c r="B327" s="17"/>
      <c r="C327" s="8"/>
      <c r="D327" s="8"/>
      <c r="E327" s="33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23.25" customHeight="1" x14ac:dyDescent="0.45">
      <c r="A328" s="8"/>
      <c r="B328" s="17"/>
      <c r="C328" s="8"/>
      <c r="D328" s="8"/>
      <c r="E328" s="33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23.25" customHeight="1" x14ac:dyDescent="0.45">
      <c r="A329" s="8"/>
      <c r="B329" s="17"/>
      <c r="C329" s="8"/>
      <c r="D329" s="8"/>
      <c r="E329" s="33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23.25" customHeight="1" x14ac:dyDescent="0.45">
      <c r="A330" s="8"/>
      <c r="B330" s="17"/>
      <c r="C330" s="8"/>
      <c r="D330" s="8"/>
      <c r="E330" s="33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23.25" customHeight="1" x14ac:dyDescent="0.45">
      <c r="A331" s="8"/>
      <c r="B331" s="17"/>
      <c r="C331" s="8"/>
      <c r="D331" s="8"/>
      <c r="E331" s="33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23.25" customHeight="1" x14ac:dyDescent="0.45">
      <c r="A332" s="8"/>
      <c r="B332" s="17"/>
      <c r="C332" s="8"/>
      <c r="D332" s="8"/>
      <c r="E332" s="33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23.25" customHeight="1" x14ac:dyDescent="0.45">
      <c r="A333" s="8"/>
      <c r="B333" s="17"/>
      <c r="C333" s="8"/>
      <c r="D333" s="8"/>
      <c r="E333" s="33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23.25" customHeight="1" x14ac:dyDescent="0.45">
      <c r="A334" s="8"/>
      <c r="B334" s="17"/>
      <c r="C334" s="8"/>
      <c r="D334" s="8"/>
      <c r="E334" s="33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23.25" customHeight="1" x14ac:dyDescent="0.45">
      <c r="A335" s="8"/>
      <c r="B335" s="17"/>
      <c r="C335" s="8"/>
      <c r="D335" s="8"/>
      <c r="E335" s="33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23.25" customHeight="1" x14ac:dyDescent="0.45">
      <c r="A336" s="8"/>
      <c r="B336" s="17"/>
      <c r="C336" s="8"/>
      <c r="D336" s="8"/>
      <c r="E336" s="33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23.25" customHeight="1" x14ac:dyDescent="0.45">
      <c r="A337" s="8"/>
      <c r="B337" s="17"/>
      <c r="C337" s="8"/>
      <c r="D337" s="8"/>
      <c r="E337" s="33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23.25" customHeight="1" x14ac:dyDescent="0.45">
      <c r="A338" s="8"/>
      <c r="B338" s="17"/>
      <c r="C338" s="8"/>
      <c r="D338" s="8"/>
      <c r="E338" s="33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23.25" customHeight="1" x14ac:dyDescent="0.45">
      <c r="A339" s="8"/>
      <c r="B339" s="17"/>
      <c r="C339" s="8"/>
      <c r="D339" s="8"/>
      <c r="E339" s="33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23.25" customHeight="1" x14ac:dyDescent="0.45">
      <c r="A340" s="8"/>
      <c r="B340" s="17"/>
      <c r="C340" s="8"/>
      <c r="D340" s="8"/>
      <c r="E340" s="33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23.25" customHeight="1" x14ac:dyDescent="0.45">
      <c r="A341" s="8"/>
      <c r="B341" s="17"/>
      <c r="C341" s="8"/>
      <c r="D341" s="8"/>
      <c r="E341" s="33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23.25" customHeight="1" x14ac:dyDescent="0.45">
      <c r="A342" s="8"/>
      <c r="B342" s="17"/>
      <c r="C342" s="8"/>
      <c r="D342" s="8"/>
      <c r="E342" s="33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23.25" customHeight="1" x14ac:dyDescent="0.45">
      <c r="A343" s="8"/>
      <c r="B343" s="17"/>
      <c r="C343" s="8"/>
      <c r="D343" s="8"/>
      <c r="E343" s="33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23.25" customHeight="1" x14ac:dyDescent="0.45">
      <c r="A344" s="8"/>
      <c r="B344" s="17"/>
      <c r="C344" s="8"/>
      <c r="D344" s="8"/>
      <c r="E344" s="33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23.25" customHeight="1" x14ac:dyDescent="0.45">
      <c r="A345" s="8"/>
      <c r="B345" s="17"/>
      <c r="C345" s="8"/>
      <c r="D345" s="8"/>
      <c r="E345" s="33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23.25" customHeight="1" x14ac:dyDescent="0.45">
      <c r="A346" s="8"/>
      <c r="B346" s="17"/>
      <c r="C346" s="8"/>
      <c r="D346" s="8"/>
      <c r="E346" s="33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23.25" customHeight="1" x14ac:dyDescent="0.45">
      <c r="A347" s="8"/>
      <c r="B347" s="17"/>
      <c r="C347" s="8"/>
      <c r="D347" s="8"/>
      <c r="E347" s="33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23.25" customHeight="1" x14ac:dyDescent="0.45">
      <c r="A348" s="8"/>
      <c r="B348" s="17"/>
      <c r="C348" s="8"/>
      <c r="D348" s="8"/>
      <c r="E348" s="33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23.25" customHeight="1" x14ac:dyDescent="0.45">
      <c r="A349" s="8"/>
      <c r="B349" s="17"/>
      <c r="C349" s="8"/>
      <c r="D349" s="8"/>
      <c r="E349" s="33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23.25" customHeight="1" x14ac:dyDescent="0.45">
      <c r="A350" s="8"/>
      <c r="B350" s="17"/>
      <c r="C350" s="8"/>
      <c r="D350" s="8"/>
      <c r="E350" s="33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23.25" customHeight="1" x14ac:dyDescent="0.45">
      <c r="A351" s="8"/>
      <c r="B351" s="17"/>
      <c r="C351" s="8"/>
      <c r="D351" s="8"/>
      <c r="E351" s="33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23.25" customHeight="1" x14ac:dyDescent="0.45">
      <c r="A352" s="8"/>
      <c r="B352" s="17"/>
      <c r="C352" s="8"/>
      <c r="D352" s="8"/>
      <c r="E352" s="33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23.25" customHeight="1" x14ac:dyDescent="0.45">
      <c r="A353" s="8"/>
      <c r="B353" s="17"/>
      <c r="C353" s="8"/>
      <c r="D353" s="8"/>
      <c r="E353" s="33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23.25" customHeight="1" x14ac:dyDescent="0.45">
      <c r="A354" s="8"/>
      <c r="B354" s="17"/>
      <c r="C354" s="8"/>
      <c r="D354" s="8"/>
      <c r="E354" s="33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23.25" customHeight="1" x14ac:dyDescent="0.45">
      <c r="A355" s="8"/>
      <c r="B355" s="17"/>
      <c r="C355" s="8"/>
      <c r="D355" s="8"/>
      <c r="E355" s="33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23.25" customHeight="1" x14ac:dyDescent="0.45">
      <c r="A356" s="8"/>
      <c r="B356" s="17"/>
      <c r="C356" s="8"/>
      <c r="D356" s="8"/>
      <c r="E356" s="33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23.25" customHeight="1" x14ac:dyDescent="0.45">
      <c r="A357" s="8"/>
      <c r="B357" s="17"/>
      <c r="C357" s="8"/>
      <c r="D357" s="8"/>
      <c r="E357" s="33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23.25" customHeight="1" x14ac:dyDescent="0.45">
      <c r="A358" s="8"/>
      <c r="B358" s="17"/>
      <c r="C358" s="8"/>
      <c r="D358" s="8"/>
      <c r="E358" s="33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23.25" customHeight="1" x14ac:dyDescent="0.45">
      <c r="A359" s="8"/>
      <c r="B359" s="17"/>
      <c r="C359" s="8"/>
      <c r="D359" s="8"/>
      <c r="E359" s="33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23.25" customHeight="1" x14ac:dyDescent="0.45">
      <c r="A360" s="8"/>
      <c r="B360" s="17"/>
      <c r="C360" s="8"/>
      <c r="D360" s="8"/>
      <c r="E360" s="33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23.25" customHeight="1" x14ac:dyDescent="0.45">
      <c r="A361" s="8"/>
      <c r="B361" s="17"/>
      <c r="C361" s="8"/>
      <c r="D361" s="8"/>
      <c r="E361" s="33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23.25" customHeight="1" x14ac:dyDescent="0.45">
      <c r="A362" s="8"/>
      <c r="B362" s="17"/>
      <c r="C362" s="8"/>
      <c r="D362" s="8"/>
      <c r="E362" s="33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23.25" customHeight="1" x14ac:dyDescent="0.45">
      <c r="A363" s="8"/>
      <c r="B363" s="17"/>
      <c r="C363" s="8"/>
      <c r="D363" s="8"/>
      <c r="E363" s="33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23.25" customHeight="1" x14ac:dyDescent="0.45">
      <c r="A364" s="8"/>
      <c r="B364" s="17"/>
      <c r="C364" s="8"/>
      <c r="D364" s="8"/>
      <c r="E364" s="33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23.25" customHeight="1" x14ac:dyDescent="0.45">
      <c r="A365" s="8"/>
      <c r="B365" s="17"/>
      <c r="C365" s="8"/>
      <c r="D365" s="8"/>
      <c r="E365" s="33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23.25" customHeight="1" x14ac:dyDescent="0.45">
      <c r="A366" s="8"/>
      <c r="B366" s="17"/>
      <c r="C366" s="8"/>
      <c r="D366" s="8"/>
      <c r="E366" s="33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23.25" customHeight="1" x14ac:dyDescent="0.45">
      <c r="A367" s="8"/>
      <c r="B367" s="17"/>
      <c r="C367" s="8"/>
      <c r="D367" s="8"/>
      <c r="E367" s="33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23.25" customHeight="1" x14ac:dyDescent="0.45">
      <c r="A368" s="8"/>
      <c r="B368" s="17"/>
      <c r="C368" s="8"/>
      <c r="D368" s="8"/>
      <c r="E368" s="33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23.25" customHeight="1" x14ac:dyDescent="0.45">
      <c r="A369" s="8"/>
      <c r="B369" s="17"/>
      <c r="C369" s="8"/>
      <c r="D369" s="8"/>
      <c r="E369" s="33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23.25" customHeight="1" x14ac:dyDescent="0.45">
      <c r="A370" s="8"/>
      <c r="B370" s="17"/>
      <c r="C370" s="8"/>
      <c r="D370" s="8"/>
      <c r="E370" s="33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23.25" customHeight="1" x14ac:dyDescent="0.45">
      <c r="A371" s="8"/>
      <c r="B371" s="17"/>
      <c r="C371" s="8"/>
      <c r="D371" s="8"/>
      <c r="E371" s="33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23.25" customHeight="1" x14ac:dyDescent="0.45">
      <c r="A372" s="8"/>
      <c r="B372" s="17"/>
      <c r="C372" s="8"/>
      <c r="D372" s="8"/>
      <c r="E372" s="33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23.25" customHeight="1" x14ac:dyDescent="0.45">
      <c r="A373" s="8"/>
      <c r="B373" s="17"/>
      <c r="C373" s="8"/>
      <c r="D373" s="8"/>
      <c r="E373" s="33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23.25" customHeight="1" x14ac:dyDescent="0.45">
      <c r="A374" s="8"/>
      <c r="B374" s="17"/>
      <c r="C374" s="8"/>
      <c r="D374" s="8"/>
      <c r="E374" s="33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23.25" customHeight="1" x14ac:dyDescent="0.45">
      <c r="A375" s="8"/>
      <c r="B375" s="17"/>
      <c r="C375" s="8"/>
      <c r="D375" s="8"/>
      <c r="E375" s="33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23.25" customHeight="1" x14ac:dyDescent="0.45">
      <c r="A376" s="8"/>
      <c r="B376" s="17"/>
      <c r="C376" s="8"/>
      <c r="D376" s="8"/>
      <c r="E376" s="33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23.25" customHeight="1" x14ac:dyDescent="0.45">
      <c r="A377" s="8"/>
      <c r="B377" s="17"/>
      <c r="C377" s="8"/>
      <c r="D377" s="8"/>
      <c r="E377" s="33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23.25" customHeight="1" x14ac:dyDescent="0.45">
      <c r="A378" s="8"/>
      <c r="B378" s="17"/>
      <c r="C378" s="8"/>
      <c r="D378" s="8"/>
      <c r="E378" s="33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23.25" customHeight="1" x14ac:dyDescent="0.45">
      <c r="A379" s="8"/>
      <c r="B379" s="17"/>
      <c r="C379" s="8"/>
      <c r="D379" s="8"/>
      <c r="E379" s="33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23.25" customHeight="1" x14ac:dyDescent="0.45">
      <c r="A380" s="8"/>
      <c r="B380" s="17"/>
      <c r="C380" s="8"/>
      <c r="D380" s="8"/>
      <c r="E380" s="33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23.25" customHeight="1" x14ac:dyDescent="0.45">
      <c r="A381" s="8"/>
      <c r="B381" s="17"/>
      <c r="C381" s="8"/>
      <c r="D381" s="8"/>
      <c r="E381" s="33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23.25" customHeight="1" x14ac:dyDescent="0.45">
      <c r="A382" s="8"/>
      <c r="B382" s="17"/>
      <c r="C382" s="8"/>
      <c r="D382" s="8"/>
      <c r="E382" s="33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23.25" customHeight="1" x14ac:dyDescent="0.45">
      <c r="A383" s="8"/>
      <c r="B383" s="17"/>
      <c r="C383" s="8"/>
      <c r="D383" s="8"/>
      <c r="E383" s="33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23.25" customHeight="1" x14ac:dyDescent="0.45">
      <c r="A384" s="8"/>
      <c r="B384" s="17"/>
      <c r="C384" s="8"/>
      <c r="D384" s="8"/>
      <c r="E384" s="33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23.25" customHeight="1" x14ac:dyDescent="0.45">
      <c r="A385" s="8"/>
      <c r="B385" s="17"/>
      <c r="C385" s="8"/>
      <c r="D385" s="8"/>
      <c r="E385" s="33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23.25" customHeight="1" x14ac:dyDescent="0.45">
      <c r="A386" s="8"/>
      <c r="B386" s="17"/>
      <c r="C386" s="8"/>
      <c r="D386" s="8"/>
      <c r="E386" s="33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23.25" customHeight="1" x14ac:dyDescent="0.45">
      <c r="A387" s="8"/>
      <c r="B387" s="17"/>
      <c r="C387" s="8"/>
      <c r="D387" s="8"/>
      <c r="E387" s="33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23.25" customHeight="1" x14ac:dyDescent="0.45">
      <c r="A388" s="8"/>
      <c r="B388" s="17"/>
      <c r="C388" s="8"/>
      <c r="D388" s="8"/>
      <c r="E388" s="33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23.25" customHeight="1" x14ac:dyDescent="0.45">
      <c r="A389" s="8"/>
      <c r="B389" s="17"/>
      <c r="C389" s="8"/>
      <c r="D389" s="8"/>
      <c r="E389" s="33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23.25" customHeight="1" x14ac:dyDescent="0.45">
      <c r="A390" s="8"/>
      <c r="B390" s="17"/>
      <c r="C390" s="8"/>
      <c r="D390" s="8"/>
      <c r="E390" s="33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23.25" customHeight="1" x14ac:dyDescent="0.45">
      <c r="A391" s="8"/>
      <c r="B391" s="17"/>
      <c r="C391" s="8"/>
      <c r="D391" s="8"/>
      <c r="E391" s="33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23.25" customHeight="1" x14ac:dyDescent="0.45">
      <c r="A392" s="8"/>
      <c r="B392" s="17"/>
      <c r="C392" s="8"/>
      <c r="D392" s="8"/>
      <c r="E392" s="33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23.25" customHeight="1" x14ac:dyDescent="0.45">
      <c r="A393" s="8"/>
      <c r="B393" s="17"/>
      <c r="C393" s="8"/>
      <c r="D393" s="8"/>
      <c r="E393" s="33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23.25" customHeight="1" x14ac:dyDescent="0.45">
      <c r="A394" s="8"/>
      <c r="B394" s="17"/>
      <c r="C394" s="8"/>
      <c r="D394" s="8"/>
      <c r="E394" s="33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23.25" customHeight="1" x14ac:dyDescent="0.45">
      <c r="A395" s="8"/>
      <c r="B395" s="17"/>
      <c r="C395" s="8"/>
      <c r="D395" s="8"/>
      <c r="E395" s="33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23.25" customHeight="1" x14ac:dyDescent="0.45">
      <c r="A396" s="8"/>
      <c r="B396" s="17"/>
      <c r="C396" s="8"/>
      <c r="D396" s="8"/>
      <c r="E396" s="33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23.25" customHeight="1" x14ac:dyDescent="0.45">
      <c r="A397" s="8"/>
      <c r="B397" s="17"/>
      <c r="C397" s="8"/>
      <c r="D397" s="8"/>
      <c r="E397" s="33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23.25" customHeight="1" x14ac:dyDescent="0.45">
      <c r="A398" s="8"/>
      <c r="B398" s="17"/>
      <c r="C398" s="8"/>
      <c r="D398" s="8"/>
      <c r="E398" s="33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23.25" customHeight="1" x14ac:dyDescent="0.45">
      <c r="A399" s="8"/>
      <c r="B399" s="17"/>
      <c r="C399" s="8"/>
      <c r="D399" s="8"/>
      <c r="E399" s="33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23.25" customHeight="1" x14ac:dyDescent="0.45">
      <c r="A400" s="8"/>
      <c r="B400" s="17"/>
      <c r="C400" s="8"/>
      <c r="D400" s="8"/>
      <c r="E400" s="33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23.25" customHeight="1" x14ac:dyDescent="0.45">
      <c r="A401" s="8"/>
      <c r="B401" s="17"/>
      <c r="C401" s="8"/>
      <c r="D401" s="8"/>
      <c r="E401" s="33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23.25" customHeight="1" x14ac:dyDescent="0.45">
      <c r="A402" s="8"/>
      <c r="B402" s="17"/>
      <c r="C402" s="8"/>
      <c r="D402" s="8"/>
      <c r="E402" s="33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23.25" customHeight="1" x14ac:dyDescent="0.45">
      <c r="A403" s="8"/>
      <c r="B403" s="17"/>
      <c r="C403" s="8"/>
      <c r="D403" s="8"/>
      <c r="E403" s="33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23.25" customHeight="1" x14ac:dyDescent="0.45">
      <c r="A404" s="8"/>
      <c r="B404" s="17"/>
      <c r="C404" s="8"/>
      <c r="D404" s="8"/>
      <c r="E404" s="33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23.25" customHeight="1" x14ac:dyDescent="0.45">
      <c r="A405" s="8"/>
      <c r="B405" s="17"/>
      <c r="C405" s="8"/>
      <c r="D405" s="8"/>
      <c r="E405" s="33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23.25" customHeight="1" x14ac:dyDescent="0.45">
      <c r="A406" s="8"/>
      <c r="B406" s="17"/>
      <c r="C406" s="8"/>
      <c r="D406" s="8"/>
      <c r="E406" s="33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23.25" customHeight="1" x14ac:dyDescent="0.45">
      <c r="A407" s="8"/>
      <c r="B407" s="17"/>
      <c r="C407" s="8"/>
      <c r="D407" s="8"/>
      <c r="E407" s="33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23.25" customHeight="1" x14ac:dyDescent="0.45">
      <c r="A408" s="8"/>
      <c r="B408" s="17"/>
      <c r="C408" s="8"/>
      <c r="D408" s="8"/>
      <c r="E408" s="33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23.25" customHeight="1" x14ac:dyDescent="0.45">
      <c r="A409" s="8"/>
      <c r="B409" s="17"/>
      <c r="C409" s="8"/>
      <c r="D409" s="8"/>
      <c r="E409" s="33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23.25" customHeight="1" x14ac:dyDescent="0.45">
      <c r="A410" s="8"/>
      <c r="B410" s="17"/>
      <c r="C410" s="8"/>
      <c r="D410" s="8"/>
      <c r="E410" s="33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23.25" customHeight="1" x14ac:dyDescent="0.45">
      <c r="A411" s="8"/>
      <c r="B411" s="17"/>
      <c r="C411" s="8"/>
      <c r="D411" s="8"/>
      <c r="E411" s="33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23.25" customHeight="1" x14ac:dyDescent="0.45">
      <c r="A412" s="8"/>
      <c r="B412" s="17"/>
      <c r="C412" s="8"/>
      <c r="D412" s="8"/>
      <c r="E412" s="33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23.25" customHeight="1" x14ac:dyDescent="0.45">
      <c r="A413" s="8"/>
      <c r="B413" s="17"/>
      <c r="C413" s="8"/>
      <c r="D413" s="8"/>
      <c r="E413" s="33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23.25" customHeight="1" x14ac:dyDescent="0.45">
      <c r="A414" s="8"/>
      <c r="B414" s="17"/>
      <c r="C414" s="8"/>
      <c r="D414" s="8"/>
      <c r="E414" s="33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23.25" customHeight="1" x14ac:dyDescent="0.45">
      <c r="A415" s="8"/>
      <c r="B415" s="17"/>
      <c r="C415" s="8"/>
      <c r="D415" s="8"/>
      <c r="E415" s="33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23.25" customHeight="1" x14ac:dyDescent="0.45">
      <c r="A416" s="8"/>
      <c r="B416" s="17"/>
      <c r="C416" s="8"/>
      <c r="D416" s="8"/>
      <c r="E416" s="33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23.25" customHeight="1" x14ac:dyDescent="0.45">
      <c r="A417" s="8"/>
      <c r="B417" s="17"/>
      <c r="C417" s="8"/>
      <c r="D417" s="8"/>
      <c r="E417" s="33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23.25" customHeight="1" x14ac:dyDescent="0.45">
      <c r="A418" s="8"/>
      <c r="B418" s="17"/>
      <c r="C418" s="8"/>
      <c r="D418" s="8"/>
      <c r="E418" s="33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23.25" customHeight="1" x14ac:dyDescent="0.45">
      <c r="A419" s="8"/>
      <c r="B419" s="17"/>
      <c r="C419" s="8"/>
      <c r="D419" s="8"/>
      <c r="E419" s="33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23.25" customHeight="1" x14ac:dyDescent="0.45">
      <c r="A420" s="8"/>
      <c r="B420" s="17"/>
      <c r="C420" s="8"/>
      <c r="D420" s="8"/>
      <c r="E420" s="33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23.25" customHeight="1" x14ac:dyDescent="0.45">
      <c r="A421" s="8"/>
      <c r="B421" s="17"/>
      <c r="C421" s="8"/>
      <c r="D421" s="8"/>
      <c r="E421" s="33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23.25" customHeight="1" x14ac:dyDescent="0.45">
      <c r="A422" s="8"/>
      <c r="B422" s="17"/>
      <c r="C422" s="8"/>
      <c r="D422" s="8"/>
      <c r="E422" s="33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23.25" customHeight="1" x14ac:dyDescent="0.45">
      <c r="A423" s="8"/>
      <c r="B423" s="17"/>
      <c r="C423" s="8"/>
      <c r="D423" s="8"/>
      <c r="E423" s="33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23.25" customHeight="1" x14ac:dyDescent="0.45">
      <c r="A424" s="8"/>
      <c r="B424" s="17"/>
      <c r="C424" s="8"/>
      <c r="D424" s="8"/>
      <c r="E424" s="33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23.25" customHeight="1" x14ac:dyDescent="0.45">
      <c r="A425" s="8"/>
      <c r="B425" s="17"/>
      <c r="C425" s="8"/>
      <c r="D425" s="8"/>
      <c r="E425" s="33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23.25" customHeight="1" x14ac:dyDescent="0.45">
      <c r="A426" s="8"/>
      <c r="B426" s="17"/>
      <c r="C426" s="8"/>
      <c r="D426" s="8"/>
      <c r="E426" s="33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23.25" customHeight="1" x14ac:dyDescent="0.45">
      <c r="A427" s="8"/>
      <c r="B427" s="17"/>
      <c r="C427" s="8"/>
      <c r="D427" s="8"/>
      <c r="E427" s="33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23.25" customHeight="1" x14ac:dyDescent="0.45">
      <c r="A428" s="8"/>
      <c r="B428" s="17"/>
      <c r="C428" s="8"/>
      <c r="D428" s="8"/>
      <c r="E428" s="33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23.25" customHeight="1" x14ac:dyDescent="0.45">
      <c r="A429" s="8"/>
      <c r="B429" s="17"/>
      <c r="C429" s="8"/>
      <c r="D429" s="8"/>
      <c r="E429" s="33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23.25" customHeight="1" x14ac:dyDescent="0.45">
      <c r="A430" s="8"/>
      <c r="B430" s="17"/>
      <c r="C430" s="8"/>
      <c r="D430" s="8"/>
      <c r="E430" s="33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23.25" customHeight="1" x14ac:dyDescent="0.45">
      <c r="A431" s="8"/>
      <c r="B431" s="17"/>
      <c r="C431" s="8"/>
      <c r="D431" s="8"/>
      <c r="E431" s="33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23.25" customHeight="1" x14ac:dyDescent="0.45">
      <c r="A432" s="8"/>
      <c r="B432" s="17"/>
      <c r="C432" s="8"/>
      <c r="D432" s="8"/>
      <c r="E432" s="33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23.25" customHeight="1" x14ac:dyDescent="0.45">
      <c r="A433" s="8"/>
      <c r="B433" s="17"/>
      <c r="C433" s="8"/>
      <c r="D433" s="8"/>
      <c r="E433" s="33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23.25" customHeight="1" x14ac:dyDescent="0.45">
      <c r="A434" s="8"/>
      <c r="B434" s="17"/>
      <c r="C434" s="8"/>
      <c r="D434" s="8"/>
      <c r="E434" s="33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23.25" customHeight="1" x14ac:dyDescent="0.45">
      <c r="A435" s="8"/>
      <c r="B435" s="17"/>
      <c r="C435" s="8"/>
      <c r="D435" s="8"/>
      <c r="E435" s="33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23.25" customHeight="1" x14ac:dyDescent="0.45">
      <c r="A436" s="8"/>
      <c r="B436" s="17"/>
      <c r="C436" s="8"/>
      <c r="D436" s="8"/>
      <c r="E436" s="33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23.25" customHeight="1" x14ac:dyDescent="0.45">
      <c r="A437" s="8"/>
      <c r="B437" s="17"/>
      <c r="C437" s="8"/>
      <c r="D437" s="8"/>
      <c r="E437" s="33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23.25" customHeight="1" x14ac:dyDescent="0.45">
      <c r="A438" s="8"/>
      <c r="B438" s="17"/>
      <c r="C438" s="8"/>
      <c r="D438" s="8"/>
      <c r="E438" s="33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23.25" customHeight="1" x14ac:dyDescent="0.45">
      <c r="A439" s="8"/>
      <c r="B439" s="17"/>
      <c r="C439" s="8"/>
      <c r="D439" s="8"/>
      <c r="E439" s="33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23.25" customHeight="1" x14ac:dyDescent="0.45">
      <c r="A440" s="8"/>
      <c r="B440" s="17"/>
      <c r="C440" s="8"/>
      <c r="D440" s="8"/>
      <c r="E440" s="33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23.25" customHeight="1" x14ac:dyDescent="0.45">
      <c r="A441" s="8"/>
      <c r="B441" s="17"/>
      <c r="C441" s="8"/>
      <c r="D441" s="8"/>
      <c r="E441" s="33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23.25" customHeight="1" x14ac:dyDescent="0.45">
      <c r="A442" s="8"/>
      <c r="B442" s="17"/>
      <c r="C442" s="8"/>
      <c r="D442" s="8"/>
      <c r="E442" s="33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23.25" customHeight="1" x14ac:dyDescent="0.45">
      <c r="A443" s="8"/>
      <c r="B443" s="17"/>
      <c r="C443" s="8"/>
      <c r="D443" s="8"/>
      <c r="E443" s="33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23.25" customHeight="1" x14ac:dyDescent="0.45">
      <c r="A444" s="8"/>
      <c r="B444" s="17"/>
      <c r="C444" s="8"/>
      <c r="D444" s="8"/>
      <c r="E444" s="33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23.25" customHeight="1" x14ac:dyDescent="0.45">
      <c r="A445" s="8"/>
      <c r="B445" s="17"/>
      <c r="C445" s="8"/>
      <c r="D445" s="8"/>
      <c r="E445" s="33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23.25" customHeight="1" x14ac:dyDescent="0.45">
      <c r="A446" s="8"/>
      <c r="B446" s="17"/>
      <c r="C446" s="8"/>
      <c r="D446" s="8"/>
      <c r="E446" s="33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23.25" customHeight="1" x14ac:dyDescent="0.45">
      <c r="A447" s="8"/>
      <c r="B447" s="17"/>
      <c r="C447" s="8"/>
      <c r="D447" s="8"/>
      <c r="E447" s="33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23.25" customHeight="1" x14ac:dyDescent="0.45">
      <c r="A448" s="8"/>
      <c r="B448" s="17"/>
      <c r="C448" s="8"/>
      <c r="D448" s="8"/>
      <c r="E448" s="33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23.25" customHeight="1" x14ac:dyDescent="0.45">
      <c r="A449" s="8"/>
      <c r="B449" s="17"/>
      <c r="C449" s="8"/>
      <c r="D449" s="8"/>
      <c r="E449" s="33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23.25" customHeight="1" x14ac:dyDescent="0.45">
      <c r="A450" s="8"/>
      <c r="B450" s="17"/>
      <c r="C450" s="8"/>
      <c r="D450" s="8"/>
      <c r="E450" s="33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23.25" customHeight="1" x14ac:dyDescent="0.45">
      <c r="A451" s="8"/>
      <c r="B451" s="17"/>
      <c r="C451" s="8"/>
      <c r="D451" s="8"/>
      <c r="E451" s="33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23.25" customHeight="1" x14ac:dyDescent="0.45">
      <c r="A452" s="8"/>
      <c r="B452" s="17"/>
      <c r="C452" s="8"/>
      <c r="D452" s="8"/>
      <c r="E452" s="33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23.25" customHeight="1" x14ac:dyDescent="0.45">
      <c r="A453" s="8"/>
      <c r="B453" s="17"/>
      <c r="C453" s="8"/>
      <c r="D453" s="8"/>
      <c r="E453" s="33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23.25" customHeight="1" x14ac:dyDescent="0.45">
      <c r="A454" s="8"/>
      <c r="B454" s="17"/>
      <c r="C454" s="8"/>
      <c r="D454" s="8"/>
      <c r="E454" s="33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23.25" customHeight="1" x14ac:dyDescent="0.45">
      <c r="A455" s="8"/>
      <c r="B455" s="17"/>
      <c r="C455" s="8"/>
      <c r="D455" s="8"/>
      <c r="E455" s="33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23.25" customHeight="1" x14ac:dyDescent="0.45">
      <c r="A456" s="8"/>
      <c r="B456" s="17"/>
      <c r="C456" s="8"/>
      <c r="D456" s="8"/>
      <c r="E456" s="33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23.25" customHeight="1" x14ac:dyDescent="0.45">
      <c r="A457" s="8"/>
      <c r="B457" s="17"/>
      <c r="C457" s="8"/>
      <c r="D457" s="8"/>
      <c r="E457" s="33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23.25" customHeight="1" x14ac:dyDescent="0.45">
      <c r="A458" s="8"/>
      <c r="B458" s="17"/>
      <c r="C458" s="8"/>
      <c r="D458" s="8"/>
      <c r="E458" s="33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23.25" customHeight="1" x14ac:dyDescent="0.45">
      <c r="A459" s="8"/>
      <c r="B459" s="17"/>
      <c r="C459" s="8"/>
      <c r="D459" s="8"/>
      <c r="E459" s="33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23.25" customHeight="1" x14ac:dyDescent="0.45">
      <c r="A460" s="8"/>
      <c r="B460" s="17"/>
      <c r="C460" s="8"/>
      <c r="D460" s="8"/>
      <c r="E460" s="33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23.25" customHeight="1" x14ac:dyDescent="0.45">
      <c r="A461" s="8"/>
      <c r="B461" s="17"/>
      <c r="C461" s="8"/>
      <c r="D461" s="8"/>
      <c r="E461" s="33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23.25" customHeight="1" x14ac:dyDescent="0.45">
      <c r="A462" s="8"/>
      <c r="B462" s="17"/>
      <c r="C462" s="8"/>
      <c r="D462" s="8"/>
      <c r="E462" s="33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23.25" customHeight="1" x14ac:dyDescent="0.45">
      <c r="A463" s="8"/>
      <c r="B463" s="17"/>
      <c r="C463" s="8"/>
      <c r="D463" s="8"/>
      <c r="E463" s="33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23.25" customHeight="1" x14ac:dyDescent="0.45">
      <c r="A464" s="8"/>
      <c r="B464" s="17"/>
      <c r="C464" s="8"/>
      <c r="D464" s="8"/>
      <c r="E464" s="33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23.25" customHeight="1" x14ac:dyDescent="0.45">
      <c r="A465" s="8"/>
      <c r="B465" s="17"/>
      <c r="C465" s="8"/>
      <c r="D465" s="8"/>
      <c r="E465" s="33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23.25" customHeight="1" x14ac:dyDescent="0.45">
      <c r="A466" s="8"/>
      <c r="B466" s="17"/>
      <c r="C466" s="8"/>
      <c r="D466" s="8"/>
      <c r="E466" s="33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23.25" customHeight="1" x14ac:dyDescent="0.45">
      <c r="A467" s="8"/>
      <c r="B467" s="17"/>
      <c r="C467" s="8"/>
      <c r="D467" s="8"/>
      <c r="E467" s="33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23.25" customHeight="1" x14ac:dyDescent="0.45">
      <c r="A468" s="8"/>
      <c r="B468" s="17"/>
      <c r="C468" s="8"/>
      <c r="D468" s="8"/>
      <c r="E468" s="33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23.25" customHeight="1" x14ac:dyDescent="0.45">
      <c r="A469" s="8"/>
      <c r="B469" s="17"/>
      <c r="C469" s="8"/>
      <c r="D469" s="8"/>
      <c r="E469" s="33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23.25" customHeight="1" x14ac:dyDescent="0.45">
      <c r="A470" s="8"/>
      <c r="B470" s="17"/>
      <c r="C470" s="8"/>
      <c r="D470" s="8"/>
      <c r="E470" s="33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23.25" customHeight="1" x14ac:dyDescent="0.45">
      <c r="A471" s="8"/>
      <c r="B471" s="17"/>
      <c r="C471" s="8"/>
      <c r="D471" s="8"/>
      <c r="E471" s="33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23.25" customHeight="1" x14ac:dyDescent="0.45">
      <c r="A472" s="8"/>
      <c r="B472" s="17"/>
      <c r="C472" s="8"/>
      <c r="D472" s="8"/>
      <c r="E472" s="33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23.25" customHeight="1" x14ac:dyDescent="0.45">
      <c r="A473" s="8"/>
      <c r="B473" s="17"/>
      <c r="C473" s="8"/>
      <c r="D473" s="8"/>
      <c r="E473" s="33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23.25" customHeight="1" x14ac:dyDescent="0.45">
      <c r="A474" s="8"/>
      <c r="B474" s="17"/>
      <c r="C474" s="8"/>
      <c r="D474" s="8"/>
      <c r="E474" s="33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23.25" customHeight="1" x14ac:dyDescent="0.45">
      <c r="A475" s="8"/>
      <c r="B475" s="17"/>
      <c r="C475" s="8"/>
      <c r="D475" s="8"/>
      <c r="E475" s="33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23.25" customHeight="1" x14ac:dyDescent="0.45">
      <c r="A476" s="8"/>
      <c r="B476" s="17"/>
      <c r="C476" s="8"/>
      <c r="D476" s="8"/>
      <c r="E476" s="33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23.25" customHeight="1" x14ac:dyDescent="0.45">
      <c r="A477" s="8"/>
      <c r="B477" s="17"/>
      <c r="C477" s="8"/>
      <c r="D477" s="8"/>
      <c r="E477" s="33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23.25" customHeight="1" x14ac:dyDescent="0.45">
      <c r="A478" s="8"/>
      <c r="B478" s="17"/>
      <c r="C478" s="8"/>
      <c r="D478" s="8"/>
      <c r="E478" s="33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23.25" customHeight="1" x14ac:dyDescent="0.45">
      <c r="A479" s="8"/>
      <c r="B479" s="17"/>
      <c r="C479" s="8"/>
      <c r="D479" s="8"/>
      <c r="E479" s="33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23.25" customHeight="1" x14ac:dyDescent="0.45">
      <c r="A480" s="8"/>
      <c r="B480" s="17"/>
      <c r="C480" s="8"/>
      <c r="D480" s="8"/>
      <c r="E480" s="33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23.25" customHeight="1" x14ac:dyDescent="0.45">
      <c r="A481" s="8"/>
      <c r="B481" s="17"/>
      <c r="C481" s="8"/>
      <c r="D481" s="8"/>
      <c r="E481" s="33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23.25" customHeight="1" x14ac:dyDescent="0.45">
      <c r="A482" s="8"/>
      <c r="B482" s="17"/>
      <c r="C482" s="8"/>
      <c r="D482" s="8"/>
      <c r="E482" s="33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23.25" customHeight="1" x14ac:dyDescent="0.45">
      <c r="A483" s="8"/>
      <c r="B483" s="17"/>
      <c r="C483" s="8"/>
      <c r="D483" s="8"/>
      <c r="E483" s="33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23.25" customHeight="1" x14ac:dyDescent="0.45">
      <c r="A484" s="8"/>
      <c r="B484" s="17"/>
      <c r="C484" s="8"/>
      <c r="D484" s="8"/>
      <c r="E484" s="33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23.25" customHeight="1" x14ac:dyDescent="0.45">
      <c r="A485" s="8"/>
      <c r="B485" s="17"/>
      <c r="C485" s="8"/>
      <c r="D485" s="8"/>
      <c r="E485" s="33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23.25" customHeight="1" x14ac:dyDescent="0.45">
      <c r="A486" s="8"/>
      <c r="B486" s="17"/>
      <c r="C486" s="8"/>
      <c r="D486" s="8"/>
      <c r="E486" s="33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23.25" customHeight="1" x14ac:dyDescent="0.45">
      <c r="A487" s="8"/>
      <c r="B487" s="17"/>
      <c r="C487" s="8"/>
      <c r="D487" s="8"/>
      <c r="E487" s="33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23.25" customHeight="1" x14ac:dyDescent="0.45">
      <c r="A488" s="8"/>
      <c r="B488" s="17"/>
      <c r="C488" s="8"/>
      <c r="D488" s="8"/>
      <c r="E488" s="33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23.25" customHeight="1" x14ac:dyDescent="0.45">
      <c r="A489" s="8"/>
      <c r="B489" s="17"/>
      <c r="C489" s="8"/>
      <c r="D489" s="8"/>
      <c r="E489" s="33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23.25" customHeight="1" x14ac:dyDescent="0.45">
      <c r="A490" s="8"/>
      <c r="B490" s="17"/>
      <c r="C490" s="8"/>
      <c r="D490" s="8"/>
      <c r="E490" s="33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23.25" customHeight="1" x14ac:dyDescent="0.45">
      <c r="A491" s="8"/>
      <c r="B491" s="17"/>
      <c r="C491" s="8"/>
      <c r="D491" s="8"/>
      <c r="E491" s="33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23.25" customHeight="1" x14ac:dyDescent="0.45">
      <c r="A492" s="8"/>
      <c r="B492" s="17"/>
      <c r="C492" s="8"/>
      <c r="D492" s="8"/>
      <c r="E492" s="33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23.25" customHeight="1" x14ac:dyDescent="0.45">
      <c r="A493" s="8"/>
      <c r="B493" s="17"/>
      <c r="C493" s="8"/>
      <c r="D493" s="8"/>
      <c r="E493" s="33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23.25" customHeight="1" x14ac:dyDescent="0.45">
      <c r="A494" s="8"/>
      <c r="B494" s="17"/>
      <c r="C494" s="8"/>
      <c r="D494" s="8"/>
      <c r="E494" s="33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23.25" customHeight="1" x14ac:dyDescent="0.45">
      <c r="A495" s="8"/>
      <c r="B495" s="17"/>
      <c r="C495" s="8"/>
      <c r="D495" s="8"/>
      <c r="E495" s="33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23.25" customHeight="1" x14ac:dyDescent="0.45">
      <c r="A496" s="8"/>
      <c r="B496" s="17"/>
      <c r="C496" s="8"/>
      <c r="D496" s="8"/>
      <c r="E496" s="33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23.25" customHeight="1" x14ac:dyDescent="0.45">
      <c r="A497" s="8"/>
      <c r="B497" s="17"/>
      <c r="C497" s="8"/>
      <c r="D497" s="8"/>
      <c r="E497" s="33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23.25" customHeight="1" x14ac:dyDescent="0.45">
      <c r="A498" s="8"/>
      <c r="B498" s="17"/>
      <c r="C498" s="8"/>
      <c r="D498" s="8"/>
      <c r="E498" s="33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23.25" customHeight="1" x14ac:dyDescent="0.45">
      <c r="A499" s="8"/>
      <c r="B499" s="17"/>
      <c r="C499" s="8"/>
      <c r="D499" s="8"/>
      <c r="E499" s="33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23.25" customHeight="1" x14ac:dyDescent="0.45">
      <c r="A500" s="8"/>
      <c r="B500" s="17"/>
      <c r="C500" s="8"/>
      <c r="D500" s="8"/>
      <c r="E500" s="33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23.25" customHeight="1" x14ac:dyDescent="0.45">
      <c r="A501" s="8"/>
      <c r="B501" s="17"/>
      <c r="C501" s="8"/>
      <c r="D501" s="8"/>
      <c r="E501" s="33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23.25" customHeight="1" x14ac:dyDescent="0.45">
      <c r="A502" s="8"/>
      <c r="B502" s="17"/>
      <c r="C502" s="8"/>
      <c r="D502" s="8"/>
      <c r="E502" s="33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23.25" customHeight="1" x14ac:dyDescent="0.45">
      <c r="A503" s="8"/>
      <c r="B503" s="17"/>
      <c r="C503" s="8"/>
      <c r="D503" s="8"/>
      <c r="E503" s="33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23.25" customHeight="1" x14ac:dyDescent="0.45">
      <c r="A504" s="8"/>
      <c r="B504" s="17"/>
      <c r="C504" s="8"/>
      <c r="D504" s="8"/>
      <c r="E504" s="33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23.25" customHeight="1" x14ac:dyDescent="0.45">
      <c r="A505" s="8"/>
      <c r="B505" s="17"/>
      <c r="C505" s="8"/>
      <c r="D505" s="8"/>
      <c r="E505" s="33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23.25" customHeight="1" x14ac:dyDescent="0.45">
      <c r="A506" s="8"/>
      <c r="B506" s="17"/>
      <c r="C506" s="8"/>
      <c r="D506" s="8"/>
      <c r="E506" s="33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23.25" customHeight="1" x14ac:dyDescent="0.45">
      <c r="A507" s="8"/>
      <c r="B507" s="17"/>
      <c r="C507" s="8"/>
      <c r="D507" s="8"/>
      <c r="E507" s="33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23.25" customHeight="1" x14ac:dyDescent="0.45">
      <c r="A508" s="8"/>
      <c r="B508" s="17"/>
      <c r="C508" s="8"/>
      <c r="D508" s="8"/>
      <c r="E508" s="33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23.25" customHeight="1" x14ac:dyDescent="0.45">
      <c r="A509" s="8"/>
      <c r="B509" s="17"/>
      <c r="C509" s="8"/>
      <c r="D509" s="8"/>
      <c r="E509" s="33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23.25" customHeight="1" x14ac:dyDescent="0.45">
      <c r="A510" s="8"/>
      <c r="B510" s="17"/>
      <c r="C510" s="8"/>
      <c r="D510" s="8"/>
      <c r="E510" s="33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23.25" customHeight="1" x14ac:dyDescent="0.45">
      <c r="A511" s="8"/>
      <c r="B511" s="17"/>
      <c r="C511" s="8"/>
      <c r="D511" s="8"/>
      <c r="E511" s="33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23.25" customHeight="1" x14ac:dyDescent="0.45">
      <c r="A512" s="8"/>
      <c r="B512" s="17"/>
      <c r="C512" s="8"/>
      <c r="D512" s="8"/>
      <c r="E512" s="33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23.25" customHeight="1" x14ac:dyDescent="0.45">
      <c r="A513" s="8"/>
      <c r="B513" s="17"/>
      <c r="C513" s="8"/>
      <c r="D513" s="8"/>
      <c r="E513" s="33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23.25" customHeight="1" x14ac:dyDescent="0.45">
      <c r="A514" s="8"/>
      <c r="B514" s="17"/>
      <c r="C514" s="8"/>
      <c r="D514" s="8"/>
      <c r="E514" s="33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23.25" customHeight="1" x14ac:dyDescent="0.45">
      <c r="A515" s="8"/>
      <c r="B515" s="17"/>
      <c r="C515" s="8"/>
      <c r="D515" s="8"/>
      <c r="E515" s="33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23.25" customHeight="1" x14ac:dyDescent="0.45">
      <c r="A516" s="8"/>
      <c r="B516" s="17"/>
      <c r="C516" s="8"/>
      <c r="D516" s="8"/>
      <c r="E516" s="33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23.25" customHeight="1" x14ac:dyDescent="0.45">
      <c r="A517" s="8"/>
      <c r="B517" s="17"/>
      <c r="C517" s="8"/>
      <c r="D517" s="8"/>
      <c r="E517" s="33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23.25" customHeight="1" x14ac:dyDescent="0.45">
      <c r="A518" s="8"/>
      <c r="B518" s="17"/>
      <c r="C518" s="8"/>
      <c r="D518" s="8"/>
      <c r="E518" s="33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23.25" customHeight="1" x14ac:dyDescent="0.45">
      <c r="A519" s="8"/>
      <c r="B519" s="17"/>
      <c r="C519" s="8"/>
      <c r="D519" s="8"/>
      <c r="E519" s="33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23.25" customHeight="1" x14ac:dyDescent="0.45">
      <c r="A520" s="8"/>
      <c r="B520" s="17"/>
      <c r="C520" s="8"/>
      <c r="D520" s="8"/>
      <c r="E520" s="33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23.25" customHeight="1" x14ac:dyDescent="0.45">
      <c r="A521" s="8"/>
      <c r="B521" s="17"/>
      <c r="C521" s="8"/>
      <c r="D521" s="8"/>
      <c r="E521" s="33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23.25" customHeight="1" x14ac:dyDescent="0.45">
      <c r="A522" s="8"/>
      <c r="B522" s="17"/>
      <c r="C522" s="8"/>
      <c r="D522" s="8"/>
      <c r="E522" s="33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23.25" customHeight="1" x14ac:dyDescent="0.45">
      <c r="A523" s="8"/>
      <c r="B523" s="17"/>
      <c r="C523" s="8"/>
      <c r="D523" s="8"/>
      <c r="E523" s="33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23.25" customHeight="1" x14ac:dyDescent="0.45">
      <c r="A524" s="8"/>
      <c r="B524" s="17"/>
      <c r="C524" s="8"/>
      <c r="D524" s="8"/>
      <c r="E524" s="33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23.25" customHeight="1" x14ac:dyDescent="0.45">
      <c r="A525" s="8"/>
      <c r="B525" s="17"/>
      <c r="C525" s="8"/>
      <c r="D525" s="8"/>
      <c r="E525" s="33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23.25" customHeight="1" x14ac:dyDescent="0.45">
      <c r="A526" s="8"/>
      <c r="B526" s="17"/>
      <c r="C526" s="8"/>
      <c r="D526" s="8"/>
      <c r="E526" s="33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23.25" customHeight="1" x14ac:dyDescent="0.45">
      <c r="A527" s="8"/>
      <c r="B527" s="17"/>
      <c r="C527" s="8"/>
      <c r="D527" s="8"/>
      <c r="E527" s="33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23.25" customHeight="1" x14ac:dyDescent="0.45">
      <c r="A528" s="8"/>
      <c r="B528" s="17"/>
      <c r="C528" s="8"/>
      <c r="D528" s="8"/>
      <c r="E528" s="33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23.25" customHeight="1" x14ac:dyDescent="0.45">
      <c r="A529" s="8"/>
      <c r="B529" s="17"/>
      <c r="C529" s="8"/>
      <c r="D529" s="8"/>
      <c r="E529" s="33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23.25" customHeight="1" x14ac:dyDescent="0.45">
      <c r="A530" s="8"/>
      <c r="B530" s="17"/>
      <c r="C530" s="8"/>
      <c r="D530" s="8"/>
      <c r="E530" s="33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23.25" customHeight="1" x14ac:dyDescent="0.45">
      <c r="A531" s="8"/>
      <c r="B531" s="17"/>
      <c r="C531" s="8"/>
      <c r="D531" s="8"/>
      <c r="E531" s="33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23.25" customHeight="1" x14ac:dyDescent="0.45">
      <c r="A532" s="8"/>
      <c r="B532" s="17"/>
      <c r="C532" s="8"/>
      <c r="D532" s="8"/>
      <c r="E532" s="33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23.25" customHeight="1" x14ac:dyDescent="0.45">
      <c r="A533" s="8"/>
      <c r="B533" s="17"/>
      <c r="C533" s="8"/>
      <c r="D533" s="8"/>
      <c r="E533" s="33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23.25" customHeight="1" x14ac:dyDescent="0.45">
      <c r="A534" s="8"/>
      <c r="B534" s="17"/>
      <c r="C534" s="8"/>
      <c r="D534" s="8"/>
      <c r="E534" s="33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23.25" customHeight="1" x14ac:dyDescent="0.45">
      <c r="A535" s="8"/>
      <c r="B535" s="17"/>
      <c r="C535" s="8"/>
      <c r="D535" s="8"/>
      <c r="E535" s="33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23.25" customHeight="1" x14ac:dyDescent="0.45">
      <c r="A536" s="8"/>
      <c r="B536" s="17"/>
      <c r="C536" s="8"/>
      <c r="D536" s="8"/>
      <c r="E536" s="33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23.25" customHeight="1" x14ac:dyDescent="0.45">
      <c r="A537" s="8"/>
      <c r="B537" s="17"/>
      <c r="C537" s="8"/>
      <c r="D537" s="8"/>
      <c r="E537" s="33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23.25" customHeight="1" x14ac:dyDescent="0.45">
      <c r="A538" s="8"/>
      <c r="B538" s="17"/>
      <c r="C538" s="8"/>
      <c r="D538" s="8"/>
      <c r="E538" s="33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23.25" customHeight="1" x14ac:dyDescent="0.45">
      <c r="A539" s="8"/>
      <c r="B539" s="17"/>
      <c r="C539" s="8"/>
      <c r="D539" s="8"/>
      <c r="E539" s="33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23.25" customHeight="1" x14ac:dyDescent="0.45">
      <c r="A540" s="8"/>
      <c r="B540" s="17"/>
      <c r="C540" s="8"/>
      <c r="D540" s="8"/>
      <c r="E540" s="33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23.25" customHeight="1" x14ac:dyDescent="0.45">
      <c r="A541" s="8"/>
      <c r="B541" s="17"/>
      <c r="C541" s="8"/>
      <c r="D541" s="8"/>
      <c r="E541" s="33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23.25" customHeight="1" x14ac:dyDescent="0.45">
      <c r="A542" s="8"/>
      <c r="B542" s="17"/>
      <c r="C542" s="8"/>
      <c r="D542" s="8"/>
      <c r="E542" s="33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23.25" customHeight="1" x14ac:dyDescent="0.45">
      <c r="A543" s="8"/>
      <c r="B543" s="17"/>
      <c r="C543" s="8"/>
      <c r="D543" s="8"/>
      <c r="E543" s="33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23.25" customHeight="1" x14ac:dyDescent="0.45">
      <c r="A544" s="8"/>
      <c r="B544" s="17"/>
      <c r="C544" s="8"/>
      <c r="D544" s="8"/>
      <c r="E544" s="33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23.25" customHeight="1" x14ac:dyDescent="0.45">
      <c r="A545" s="8"/>
      <c r="B545" s="17"/>
      <c r="C545" s="8"/>
      <c r="D545" s="8"/>
      <c r="E545" s="33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23.25" customHeight="1" x14ac:dyDescent="0.45">
      <c r="A546" s="8"/>
      <c r="B546" s="17"/>
      <c r="C546" s="8"/>
      <c r="D546" s="8"/>
      <c r="E546" s="33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23.25" customHeight="1" x14ac:dyDescent="0.45">
      <c r="A547" s="8"/>
      <c r="B547" s="17"/>
      <c r="C547" s="8"/>
      <c r="D547" s="8"/>
      <c r="E547" s="33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23.25" customHeight="1" x14ac:dyDescent="0.45">
      <c r="A548" s="8"/>
      <c r="B548" s="17"/>
      <c r="C548" s="8"/>
      <c r="D548" s="8"/>
      <c r="E548" s="33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23.25" customHeight="1" x14ac:dyDescent="0.45">
      <c r="A549" s="8"/>
      <c r="B549" s="17"/>
      <c r="C549" s="8"/>
      <c r="D549" s="8"/>
      <c r="E549" s="33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23.25" customHeight="1" x14ac:dyDescent="0.45">
      <c r="A550" s="8"/>
      <c r="B550" s="17"/>
      <c r="C550" s="8"/>
      <c r="D550" s="8"/>
      <c r="E550" s="33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23.25" customHeight="1" x14ac:dyDescent="0.45">
      <c r="A551" s="8"/>
      <c r="B551" s="17"/>
      <c r="C551" s="8"/>
      <c r="D551" s="8"/>
      <c r="E551" s="33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23.25" customHeight="1" x14ac:dyDescent="0.45">
      <c r="A552" s="8"/>
      <c r="B552" s="17"/>
      <c r="C552" s="8"/>
      <c r="D552" s="8"/>
      <c r="E552" s="33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23.25" customHeight="1" x14ac:dyDescent="0.45">
      <c r="A553" s="8"/>
      <c r="B553" s="17"/>
      <c r="C553" s="8"/>
      <c r="D553" s="8"/>
      <c r="E553" s="33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23.25" customHeight="1" x14ac:dyDescent="0.45">
      <c r="A554" s="8"/>
      <c r="B554" s="17"/>
      <c r="C554" s="8"/>
      <c r="D554" s="8"/>
      <c r="E554" s="33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23.25" customHeight="1" x14ac:dyDescent="0.45">
      <c r="A555" s="8"/>
      <c r="B555" s="17"/>
      <c r="C555" s="8"/>
      <c r="D555" s="8"/>
      <c r="E555" s="33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23.25" customHeight="1" x14ac:dyDescent="0.45">
      <c r="A556" s="8"/>
      <c r="B556" s="17"/>
      <c r="C556" s="8"/>
      <c r="D556" s="8"/>
      <c r="E556" s="33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23.25" customHeight="1" x14ac:dyDescent="0.45">
      <c r="A557" s="8"/>
      <c r="B557" s="17"/>
      <c r="C557" s="8"/>
      <c r="D557" s="8"/>
      <c r="E557" s="33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23.25" customHeight="1" x14ac:dyDescent="0.45">
      <c r="A558" s="8"/>
      <c r="B558" s="17"/>
      <c r="C558" s="8"/>
      <c r="D558" s="8"/>
      <c r="E558" s="33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23.25" customHeight="1" x14ac:dyDescent="0.45">
      <c r="A559" s="8"/>
      <c r="B559" s="17"/>
      <c r="C559" s="8"/>
      <c r="D559" s="8"/>
      <c r="E559" s="33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23.25" customHeight="1" x14ac:dyDescent="0.45">
      <c r="A560" s="8"/>
      <c r="B560" s="17"/>
      <c r="C560" s="8"/>
      <c r="D560" s="8"/>
      <c r="E560" s="33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23.25" customHeight="1" x14ac:dyDescent="0.45">
      <c r="A561" s="8"/>
      <c r="B561" s="17"/>
      <c r="C561" s="8"/>
      <c r="D561" s="8"/>
      <c r="E561" s="33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23.25" customHeight="1" x14ac:dyDescent="0.45">
      <c r="A562" s="8"/>
      <c r="B562" s="17"/>
      <c r="C562" s="8"/>
      <c r="D562" s="8"/>
      <c r="E562" s="33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23.25" customHeight="1" x14ac:dyDescent="0.45">
      <c r="A563" s="8"/>
      <c r="B563" s="17"/>
      <c r="C563" s="8"/>
      <c r="D563" s="8"/>
      <c r="E563" s="33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23.25" customHeight="1" x14ac:dyDescent="0.45">
      <c r="A564" s="8"/>
      <c r="B564" s="17"/>
      <c r="C564" s="8"/>
      <c r="D564" s="8"/>
      <c r="E564" s="33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23.25" customHeight="1" x14ac:dyDescent="0.45">
      <c r="A565" s="8"/>
      <c r="B565" s="17"/>
      <c r="C565" s="8"/>
      <c r="D565" s="8"/>
      <c r="E565" s="33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23.25" customHeight="1" x14ac:dyDescent="0.45">
      <c r="A566" s="8"/>
      <c r="B566" s="17"/>
      <c r="C566" s="8"/>
      <c r="D566" s="8"/>
      <c r="E566" s="33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23.25" customHeight="1" x14ac:dyDescent="0.45">
      <c r="A567" s="8"/>
      <c r="B567" s="17"/>
      <c r="C567" s="8"/>
      <c r="D567" s="8"/>
      <c r="E567" s="33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23.25" customHeight="1" x14ac:dyDescent="0.45">
      <c r="A568" s="8"/>
      <c r="B568" s="17"/>
      <c r="C568" s="8"/>
      <c r="D568" s="8"/>
      <c r="E568" s="33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23.25" customHeight="1" x14ac:dyDescent="0.45">
      <c r="A569" s="8"/>
      <c r="B569" s="17"/>
      <c r="C569" s="8"/>
      <c r="D569" s="8"/>
      <c r="E569" s="33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23.25" customHeight="1" x14ac:dyDescent="0.45">
      <c r="A570" s="8"/>
      <c r="B570" s="17"/>
      <c r="C570" s="8"/>
      <c r="D570" s="8"/>
      <c r="E570" s="33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23.25" customHeight="1" x14ac:dyDescent="0.45">
      <c r="A571" s="8"/>
      <c r="B571" s="17"/>
      <c r="C571" s="8"/>
      <c r="D571" s="8"/>
      <c r="E571" s="33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23.25" customHeight="1" x14ac:dyDescent="0.45">
      <c r="A572" s="8"/>
      <c r="B572" s="17"/>
      <c r="C572" s="8"/>
      <c r="D572" s="8"/>
      <c r="E572" s="33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23.25" customHeight="1" x14ac:dyDescent="0.45">
      <c r="A573" s="8"/>
      <c r="B573" s="17"/>
      <c r="C573" s="8"/>
      <c r="D573" s="8"/>
      <c r="E573" s="33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23.25" customHeight="1" x14ac:dyDescent="0.45">
      <c r="A574" s="8"/>
      <c r="B574" s="17"/>
      <c r="C574" s="8"/>
      <c r="D574" s="8"/>
      <c r="E574" s="33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23.25" customHeight="1" x14ac:dyDescent="0.45">
      <c r="A575" s="8"/>
      <c r="B575" s="17"/>
      <c r="C575" s="8"/>
      <c r="D575" s="8"/>
      <c r="E575" s="33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23.25" customHeight="1" x14ac:dyDescent="0.45">
      <c r="A576" s="8"/>
      <c r="B576" s="17"/>
      <c r="C576" s="8"/>
      <c r="D576" s="8"/>
      <c r="E576" s="33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23.25" customHeight="1" x14ac:dyDescent="0.45">
      <c r="A577" s="8"/>
      <c r="B577" s="17"/>
      <c r="C577" s="8"/>
      <c r="D577" s="8"/>
      <c r="E577" s="33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23.25" customHeight="1" x14ac:dyDescent="0.45">
      <c r="A578" s="8"/>
      <c r="B578" s="17"/>
      <c r="C578" s="8"/>
      <c r="D578" s="8"/>
      <c r="E578" s="33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23.25" customHeight="1" x14ac:dyDescent="0.45">
      <c r="A579" s="8"/>
      <c r="B579" s="17"/>
      <c r="C579" s="8"/>
      <c r="D579" s="8"/>
      <c r="E579" s="33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23.25" customHeight="1" x14ac:dyDescent="0.45">
      <c r="A580" s="8"/>
      <c r="B580" s="17"/>
      <c r="C580" s="8"/>
      <c r="D580" s="8"/>
      <c r="E580" s="33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23.25" customHeight="1" x14ac:dyDescent="0.45">
      <c r="A581" s="8"/>
      <c r="B581" s="17"/>
      <c r="C581" s="8"/>
      <c r="D581" s="8"/>
      <c r="E581" s="33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23.25" customHeight="1" x14ac:dyDescent="0.45">
      <c r="A582" s="8"/>
      <c r="B582" s="17"/>
      <c r="C582" s="8"/>
      <c r="D582" s="8"/>
      <c r="E582" s="33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23.25" customHeight="1" x14ac:dyDescent="0.45">
      <c r="A583" s="8"/>
      <c r="B583" s="17"/>
      <c r="C583" s="8"/>
      <c r="D583" s="8"/>
      <c r="E583" s="33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23.25" customHeight="1" x14ac:dyDescent="0.45">
      <c r="A584" s="8"/>
      <c r="B584" s="17"/>
      <c r="C584" s="8"/>
      <c r="D584" s="8"/>
      <c r="E584" s="33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23.25" customHeight="1" x14ac:dyDescent="0.45">
      <c r="A585" s="8"/>
      <c r="B585" s="17"/>
      <c r="C585" s="8"/>
      <c r="D585" s="8"/>
      <c r="E585" s="33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23.25" customHeight="1" x14ac:dyDescent="0.45">
      <c r="A586" s="8"/>
      <c r="B586" s="17"/>
      <c r="C586" s="8"/>
      <c r="D586" s="8"/>
      <c r="E586" s="33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23.25" customHeight="1" x14ac:dyDescent="0.45">
      <c r="A587" s="8"/>
      <c r="B587" s="17"/>
      <c r="C587" s="8"/>
      <c r="D587" s="8"/>
      <c r="E587" s="33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23.25" customHeight="1" x14ac:dyDescent="0.45">
      <c r="A588" s="8"/>
      <c r="B588" s="17"/>
      <c r="C588" s="8"/>
      <c r="D588" s="8"/>
      <c r="E588" s="33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23.25" customHeight="1" x14ac:dyDescent="0.45">
      <c r="A589" s="8"/>
      <c r="B589" s="17"/>
      <c r="C589" s="8"/>
      <c r="D589" s="8"/>
      <c r="E589" s="33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23.25" customHeight="1" x14ac:dyDescent="0.45">
      <c r="A590" s="8"/>
      <c r="B590" s="17"/>
      <c r="C590" s="8"/>
      <c r="D590" s="8"/>
      <c r="E590" s="33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23.25" customHeight="1" x14ac:dyDescent="0.45">
      <c r="A591" s="8"/>
      <c r="B591" s="17"/>
      <c r="C591" s="8"/>
      <c r="D591" s="8"/>
      <c r="E591" s="33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23.25" customHeight="1" x14ac:dyDescent="0.45">
      <c r="A592" s="8"/>
      <c r="B592" s="17"/>
      <c r="C592" s="8"/>
      <c r="D592" s="8"/>
      <c r="E592" s="33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23.25" customHeight="1" x14ac:dyDescent="0.45">
      <c r="A593" s="8"/>
      <c r="B593" s="17"/>
      <c r="C593" s="8"/>
      <c r="D593" s="8"/>
      <c r="E593" s="33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23.25" customHeight="1" x14ac:dyDescent="0.45">
      <c r="A594" s="8"/>
      <c r="B594" s="17"/>
      <c r="C594" s="8"/>
      <c r="D594" s="8"/>
      <c r="E594" s="33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23.25" customHeight="1" x14ac:dyDescent="0.45">
      <c r="A595" s="8"/>
      <c r="B595" s="17"/>
      <c r="C595" s="8"/>
      <c r="D595" s="8"/>
      <c r="E595" s="33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23.25" customHeight="1" x14ac:dyDescent="0.45">
      <c r="A596" s="8"/>
      <c r="B596" s="17"/>
      <c r="C596" s="8"/>
      <c r="D596" s="8"/>
      <c r="E596" s="33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23.25" customHeight="1" x14ac:dyDescent="0.45">
      <c r="A597" s="8"/>
      <c r="B597" s="17"/>
      <c r="C597" s="8"/>
      <c r="D597" s="8"/>
      <c r="E597" s="33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23.25" customHeight="1" x14ac:dyDescent="0.45">
      <c r="A598" s="8"/>
      <c r="B598" s="17"/>
      <c r="C598" s="8"/>
      <c r="D598" s="8"/>
      <c r="E598" s="33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23.25" customHeight="1" x14ac:dyDescent="0.45">
      <c r="A599" s="8"/>
      <c r="B599" s="17"/>
      <c r="C599" s="8"/>
      <c r="D599" s="8"/>
      <c r="E599" s="33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23.25" customHeight="1" x14ac:dyDescent="0.45">
      <c r="A600" s="8"/>
      <c r="B600" s="17"/>
      <c r="C600" s="8"/>
      <c r="D600" s="8"/>
      <c r="E600" s="33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23.25" customHeight="1" x14ac:dyDescent="0.45">
      <c r="A601" s="8"/>
      <c r="B601" s="17"/>
      <c r="C601" s="8"/>
      <c r="D601" s="8"/>
      <c r="E601" s="33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23.25" customHeight="1" x14ac:dyDescent="0.45">
      <c r="A602" s="8"/>
      <c r="B602" s="17"/>
      <c r="C602" s="8"/>
      <c r="D602" s="8"/>
      <c r="E602" s="33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23.25" customHeight="1" x14ac:dyDescent="0.45">
      <c r="A603" s="8"/>
      <c r="B603" s="17"/>
      <c r="C603" s="8"/>
      <c r="D603" s="8"/>
      <c r="E603" s="33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23.25" customHeight="1" x14ac:dyDescent="0.45">
      <c r="A604" s="8"/>
      <c r="B604" s="17"/>
      <c r="C604" s="8"/>
      <c r="D604" s="8"/>
      <c r="E604" s="33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23.25" customHeight="1" x14ac:dyDescent="0.45">
      <c r="A605" s="8"/>
      <c r="B605" s="17"/>
      <c r="C605" s="8"/>
      <c r="D605" s="8"/>
      <c r="E605" s="33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23.25" customHeight="1" x14ac:dyDescent="0.45">
      <c r="A606" s="8"/>
      <c r="B606" s="17"/>
      <c r="C606" s="8"/>
      <c r="D606" s="8"/>
      <c r="E606" s="33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23.25" customHeight="1" x14ac:dyDescent="0.45">
      <c r="A607" s="8"/>
      <c r="B607" s="17"/>
      <c r="C607" s="8"/>
      <c r="D607" s="8"/>
      <c r="E607" s="33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23.25" customHeight="1" x14ac:dyDescent="0.45">
      <c r="A608" s="8"/>
      <c r="B608" s="17"/>
      <c r="C608" s="8"/>
      <c r="D608" s="8"/>
      <c r="E608" s="33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23.25" customHeight="1" x14ac:dyDescent="0.45">
      <c r="A609" s="8"/>
      <c r="B609" s="17"/>
      <c r="C609" s="8"/>
      <c r="D609" s="8"/>
      <c r="E609" s="33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23.25" customHeight="1" x14ac:dyDescent="0.45">
      <c r="A610" s="8"/>
      <c r="B610" s="17"/>
      <c r="C610" s="8"/>
      <c r="D610" s="8"/>
      <c r="E610" s="33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23.25" customHeight="1" x14ac:dyDescent="0.45">
      <c r="A611" s="8"/>
      <c r="B611" s="17"/>
      <c r="C611" s="8"/>
      <c r="D611" s="8"/>
      <c r="E611" s="33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23.25" customHeight="1" x14ac:dyDescent="0.45">
      <c r="A612" s="8"/>
      <c r="B612" s="17"/>
      <c r="C612" s="8"/>
      <c r="D612" s="8"/>
      <c r="E612" s="33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23.25" customHeight="1" x14ac:dyDescent="0.45">
      <c r="A613" s="8"/>
      <c r="B613" s="17"/>
      <c r="C613" s="8"/>
      <c r="D613" s="8"/>
      <c r="E613" s="33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23.25" customHeight="1" x14ac:dyDescent="0.45">
      <c r="A614" s="8"/>
      <c r="B614" s="17"/>
      <c r="C614" s="8"/>
      <c r="D614" s="8"/>
      <c r="E614" s="33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23.25" customHeight="1" x14ac:dyDescent="0.45">
      <c r="A615" s="8"/>
      <c r="B615" s="17"/>
      <c r="C615" s="8"/>
      <c r="D615" s="8"/>
      <c r="E615" s="33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23.25" customHeight="1" x14ac:dyDescent="0.45">
      <c r="A616" s="8"/>
      <c r="B616" s="17"/>
      <c r="C616" s="8"/>
      <c r="D616" s="8"/>
      <c r="E616" s="33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23.25" customHeight="1" x14ac:dyDescent="0.45">
      <c r="A617" s="8"/>
      <c r="B617" s="17"/>
      <c r="C617" s="8"/>
      <c r="D617" s="8"/>
      <c r="E617" s="33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23.25" customHeight="1" x14ac:dyDescent="0.45">
      <c r="A618" s="8"/>
      <c r="B618" s="17"/>
      <c r="C618" s="8"/>
      <c r="D618" s="8"/>
      <c r="E618" s="33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23.25" customHeight="1" x14ac:dyDescent="0.45">
      <c r="A619" s="8"/>
      <c r="B619" s="17"/>
      <c r="C619" s="8"/>
      <c r="D619" s="8"/>
      <c r="E619" s="33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23.25" customHeight="1" x14ac:dyDescent="0.45">
      <c r="A620" s="8"/>
      <c r="B620" s="17"/>
      <c r="C620" s="8"/>
      <c r="D620" s="8"/>
      <c r="E620" s="33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23.25" customHeight="1" x14ac:dyDescent="0.45">
      <c r="A621" s="8"/>
      <c r="B621" s="17"/>
      <c r="C621" s="8"/>
      <c r="D621" s="8"/>
      <c r="E621" s="33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23.25" customHeight="1" x14ac:dyDescent="0.45">
      <c r="A622" s="8"/>
      <c r="B622" s="17"/>
      <c r="C622" s="8"/>
      <c r="D622" s="8"/>
      <c r="E622" s="33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23.25" customHeight="1" x14ac:dyDescent="0.45">
      <c r="A623" s="8"/>
      <c r="B623" s="17"/>
      <c r="C623" s="8"/>
      <c r="D623" s="8"/>
      <c r="E623" s="33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23.25" customHeight="1" x14ac:dyDescent="0.45">
      <c r="A624" s="8"/>
      <c r="B624" s="17"/>
      <c r="C624" s="8"/>
      <c r="D624" s="8"/>
      <c r="E624" s="33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23.25" customHeight="1" x14ac:dyDescent="0.45">
      <c r="A625" s="8"/>
      <c r="B625" s="17"/>
      <c r="C625" s="8"/>
      <c r="D625" s="8"/>
      <c r="E625" s="33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23.25" customHeight="1" x14ac:dyDescent="0.45">
      <c r="A626" s="8"/>
      <c r="B626" s="17"/>
      <c r="C626" s="8"/>
      <c r="D626" s="8"/>
      <c r="E626" s="33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23.25" customHeight="1" x14ac:dyDescent="0.45">
      <c r="A627" s="8"/>
      <c r="B627" s="17"/>
      <c r="C627" s="8"/>
      <c r="D627" s="8"/>
      <c r="E627" s="33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23.25" customHeight="1" x14ac:dyDescent="0.45">
      <c r="A628" s="8"/>
      <c r="B628" s="17"/>
      <c r="C628" s="8"/>
      <c r="D628" s="8"/>
      <c r="E628" s="33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23.25" customHeight="1" x14ac:dyDescent="0.45">
      <c r="A629" s="8"/>
      <c r="B629" s="17"/>
      <c r="C629" s="8"/>
      <c r="D629" s="8"/>
      <c r="E629" s="33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23.25" customHeight="1" x14ac:dyDescent="0.45">
      <c r="A630" s="8"/>
      <c r="B630" s="17"/>
      <c r="C630" s="8"/>
      <c r="D630" s="8"/>
      <c r="E630" s="33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23.25" customHeight="1" x14ac:dyDescent="0.45">
      <c r="A631" s="8"/>
      <c r="B631" s="17"/>
      <c r="C631" s="8"/>
      <c r="D631" s="8"/>
      <c r="E631" s="33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23.25" customHeight="1" x14ac:dyDescent="0.45">
      <c r="A632" s="8"/>
      <c r="B632" s="17"/>
      <c r="C632" s="8"/>
      <c r="D632" s="8"/>
      <c r="E632" s="33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23.25" customHeight="1" x14ac:dyDescent="0.45">
      <c r="A633" s="8"/>
      <c r="B633" s="17"/>
      <c r="C633" s="8"/>
      <c r="D633" s="8"/>
      <c r="E633" s="33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23.25" customHeight="1" x14ac:dyDescent="0.45">
      <c r="A634" s="8"/>
      <c r="B634" s="17"/>
      <c r="C634" s="8"/>
      <c r="D634" s="8"/>
      <c r="E634" s="33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23.25" customHeight="1" x14ac:dyDescent="0.45">
      <c r="A635" s="8"/>
      <c r="B635" s="17"/>
      <c r="C635" s="8"/>
      <c r="D635" s="8"/>
      <c r="E635" s="33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23.25" customHeight="1" x14ac:dyDescent="0.45">
      <c r="A636" s="8"/>
      <c r="B636" s="17"/>
      <c r="C636" s="8"/>
      <c r="D636" s="8"/>
      <c r="E636" s="33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23.25" customHeight="1" x14ac:dyDescent="0.45">
      <c r="A637" s="8"/>
      <c r="B637" s="17"/>
      <c r="C637" s="8"/>
      <c r="D637" s="8"/>
      <c r="E637" s="33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23.25" customHeight="1" x14ac:dyDescent="0.45">
      <c r="A638" s="8"/>
      <c r="B638" s="17"/>
      <c r="C638" s="8"/>
      <c r="D638" s="8"/>
      <c r="E638" s="33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23.25" customHeight="1" x14ac:dyDescent="0.45">
      <c r="A639" s="8"/>
      <c r="B639" s="17"/>
      <c r="C639" s="8"/>
      <c r="D639" s="8"/>
      <c r="E639" s="33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23.25" customHeight="1" x14ac:dyDescent="0.45">
      <c r="A640" s="8"/>
      <c r="B640" s="17"/>
      <c r="C640" s="8"/>
      <c r="D640" s="8"/>
      <c r="E640" s="33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23.25" customHeight="1" x14ac:dyDescent="0.45">
      <c r="A641" s="8"/>
      <c r="B641" s="17"/>
      <c r="C641" s="8"/>
      <c r="D641" s="8"/>
      <c r="E641" s="33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23.25" customHeight="1" x14ac:dyDescent="0.45">
      <c r="A642" s="8"/>
      <c r="B642" s="17"/>
      <c r="C642" s="8"/>
      <c r="D642" s="8"/>
      <c r="E642" s="33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23.25" customHeight="1" x14ac:dyDescent="0.45">
      <c r="A643" s="8"/>
      <c r="B643" s="17"/>
      <c r="C643" s="8"/>
      <c r="D643" s="8"/>
      <c r="E643" s="33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23.25" customHeight="1" x14ac:dyDescent="0.45">
      <c r="A644" s="8"/>
      <c r="B644" s="17"/>
      <c r="C644" s="8"/>
      <c r="D644" s="8"/>
      <c r="E644" s="33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23.25" customHeight="1" x14ac:dyDescent="0.45">
      <c r="A645" s="8"/>
      <c r="B645" s="17"/>
      <c r="C645" s="8"/>
      <c r="D645" s="8"/>
      <c r="E645" s="33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23.25" customHeight="1" x14ac:dyDescent="0.45">
      <c r="A646" s="8"/>
      <c r="B646" s="17"/>
      <c r="C646" s="8"/>
      <c r="D646" s="8"/>
      <c r="E646" s="33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23.25" customHeight="1" x14ac:dyDescent="0.45">
      <c r="A647" s="8"/>
      <c r="B647" s="17"/>
      <c r="C647" s="8"/>
      <c r="D647" s="8"/>
      <c r="E647" s="33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23.25" customHeight="1" x14ac:dyDescent="0.45">
      <c r="A648" s="8"/>
      <c r="B648" s="17"/>
      <c r="C648" s="8"/>
      <c r="D648" s="8"/>
      <c r="E648" s="33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23.25" customHeight="1" x14ac:dyDescent="0.45">
      <c r="A649" s="8"/>
      <c r="B649" s="17"/>
      <c r="C649" s="8"/>
      <c r="D649" s="8"/>
      <c r="E649" s="33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23.25" customHeight="1" x14ac:dyDescent="0.45">
      <c r="A650" s="8"/>
      <c r="B650" s="17"/>
      <c r="C650" s="8"/>
      <c r="D650" s="8"/>
      <c r="E650" s="33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23.25" customHeight="1" x14ac:dyDescent="0.45">
      <c r="A651" s="8"/>
      <c r="B651" s="17"/>
      <c r="C651" s="8"/>
      <c r="D651" s="8"/>
      <c r="E651" s="33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23.25" customHeight="1" x14ac:dyDescent="0.45">
      <c r="A652" s="8"/>
      <c r="B652" s="17"/>
      <c r="C652" s="8"/>
      <c r="D652" s="8"/>
      <c r="E652" s="33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23.25" customHeight="1" x14ac:dyDescent="0.45">
      <c r="A653" s="8"/>
      <c r="B653" s="17"/>
      <c r="C653" s="8"/>
      <c r="D653" s="8"/>
      <c r="E653" s="33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23.25" customHeight="1" x14ac:dyDescent="0.45">
      <c r="A654" s="8"/>
      <c r="B654" s="17"/>
      <c r="C654" s="8"/>
      <c r="D654" s="8"/>
      <c r="E654" s="33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23.25" customHeight="1" x14ac:dyDescent="0.45">
      <c r="A655" s="8"/>
      <c r="B655" s="17"/>
      <c r="C655" s="8"/>
      <c r="D655" s="8"/>
      <c r="E655" s="33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23.25" customHeight="1" x14ac:dyDescent="0.45">
      <c r="A656" s="8"/>
      <c r="B656" s="17"/>
      <c r="C656" s="8"/>
      <c r="D656" s="8"/>
      <c r="E656" s="33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23.25" customHeight="1" x14ac:dyDescent="0.45">
      <c r="A657" s="8"/>
      <c r="B657" s="17"/>
      <c r="C657" s="8"/>
      <c r="D657" s="8"/>
      <c r="E657" s="33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23.25" customHeight="1" x14ac:dyDescent="0.45">
      <c r="A658" s="8"/>
      <c r="B658" s="17"/>
      <c r="C658" s="8"/>
      <c r="D658" s="8"/>
      <c r="E658" s="33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23.25" customHeight="1" x14ac:dyDescent="0.45">
      <c r="A659" s="8"/>
      <c r="B659" s="17"/>
      <c r="C659" s="8"/>
      <c r="D659" s="8"/>
      <c r="E659" s="33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23.25" customHeight="1" x14ac:dyDescent="0.45">
      <c r="A660" s="8"/>
      <c r="B660" s="17"/>
      <c r="C660" s="8"/>
      <c r="D660" s="8"/>
      <c r="E660" s="33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23.25" customHeight="1" x14ac:dyDescent="0.45">
      <c r="A661" s="8"/>
      <c r="B661" s="17"/>
      <c r="C661" s="8"/>
      <c r="D661" s="8"/>
      <c r="E661" s="33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23.25" customHeight="1" x14ac:dyDescent="0.45">
      <c r="A662" s="8"/>
      <c r="B662" s="17"/>
      <c r="C662" s="8"/>
      <c r="D662" s="8"/>
      <c r="E662" s="33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23.25" customHeight="1" x14ac:dyDescent="0.45">
      <c r="A663" s="8"/>
      <c r="B663" s="17"/>
      <c r="C663" s="8"/>
      <c r="D663" s="8"/>
      <c r="E663" s="33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23.25" customHeight="1" x14ac:dyDescent="0.45">
      <c r="A664" s="8"/>
      <c r="B664" s="17"/>
      <c r="C664" s="8"/>
      <c r="D664" s="8"/>
      <c r="E664" s="33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23.25" customHeight="1" x14ac:dyDescent="0.45">
      <c r="A665" s="8"/>
      <c r="B665" s="17"/>
      <c r="C665" s="8"/>
      <c r="D665" s="8"/>
      <c r="E665" s="33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23.25" customHeight="1" x14ac:dyDescent="0.45">
      <c r="A666" s="8"/>
      <c r="B666" s="17"/>
      <c r="C666" s="8"/>
      <c r="D666" s="8"/>
      <c r="E666" s="33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23.25" customHeight="1" x14ac:dyDescent="0.45">
      <c r="A667" s="8"/>
      <c r="B667" s="17"/>
      <c r="C667" s="8"/>
      <c r="D667" s="8"/>
      <c r="E667" s="33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23.25" customHeight="1" x14ac:dyDescent="0.45">
      <c r="A668" s="8"/>
      <c r="B668" s="17"/>
      <c r="C668" s="8"/>
      <c r="D668" s="8"/>
      <c r="E668" s="33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23.25" customHeight="1" x14ac:dyDescent="0.45">
      <c r="A669" s="8"/>
      <c r="B669" s="17"/>
      <c r="C669" s="8"/>
      <c r="D669" s="8"/>
      <c r="E669" s="33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23.25" customHeight="1" x14ac:dyDescent="0.45">
      <c r="A670" s="8"/>
      <c r="B670" s="17"/>
      <c r="C670" s="8"/>
      <c r="D670" s="8"/>
      <c r="E670" s="33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23.25" customHeight="1" x14ac:dyDescent="0.45">
      <c r="A671" s="8"/>
      <c r="B671" s="17"/>
      <c r="C671" s="8"/>
      <c r="D671" s="8"/>
      <c r="E671" s="33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23.25" customHeight="1" x14ac:dyDescent="0.45">
      <c r="A672" s="8"/>
      <c r="B672" s="17"/>
      <c r="C672" s="8"/>
      <c r="D672" s="8"/>
      <c r="E672" s="33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23.25" customHeight="1" x14ac:dyDescent="0.45">
      <c r="A673" s="8"/>
      <c r="B673" s="17"/>
      <c r="C673" s="8"/>
      <c r="D673" s="8"/>
      <c r="E673" s="33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23.25" customHeight="1" x14ac:dyDescent="0.45">
      <c r="A674" s="8"/>
      <c r="B674" s="17"/>
      <c r="C674" s="8"/>
      <c r="D674" s="8"/>
      <c r="E674" s="33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23.25" customHeight="1" x14ac:dyDescent="0.45">
      <c r="A675" s="8"/>
      <c r="B675" s="17"/>
      <c r="C675" s="8"/>
      <c r="D675" s="8"/>
      <c r="E675" s="33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23.25" customHeight="1" x14ac:dyDescent="0.45">
      <c r="A676" s="8"/>
      <c r="B676" s="17"/>
      <c r="C676" s="8"/>
      <c r="D676" s="8"/>
      <c r="E676" s="33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23.25" customHeight="1" x14ac:dyDescent="0.45">
      <c r="A677" s="8"/>
      <c r="B677" s="17"/>
      <c r="C677" s="8"/>
      <c r="D677" s="8"/>
      <c r="E677" s="33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23.25" customHeight="1" x14ac:dyDescent="0.45">
      <c r="A678" s="8"/>
      <c r="B678" s="17"/>
      <c r="C678" s="8"/>
      <c r="D678" s="8"/>
      <c r="E678" s="33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23.25" customHeight="1" x14ac:dyDescent="0.45">
      <c r="A679" s="8"/>
      <c r="B679" s="17"/>
      <c r="C679" s="8"/>
      <c r="D679" s="8"/>
      <c r="E679" s="33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23.25" customHeight="1" x14ac:dyDescent="0.45">
      <c r="A680" s="8"/>
      <c r="B680" s="17"/>
      <c r="C680" s="8"/>
      <c r="D680" s="8"/>
      <c r="E680" s="33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23.25" customHeight="1" x14ac:dyDescent="0.45">
      <c r="A681" s="8"/>
      <c r="B681" s="17"/>
      <c r="C681" s="8"/>
      <c r="D681" s="8"/>
      <c r="E681" s="33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23.25" customHeight="1" x14ac:dyDescent="0.45">
      <c r="A682" s="8"/>
      <c r="B682" s="17"/>
      <c r="C682" s="8"/>
      <c r="D682" s="8"/>
      <c r="E682" s="33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23.25" customHeight="1" x14ac:dyDescent="0.45">
      <c r="A683" s="8"/>
      <c r="B683" s="17"/>
      <c r="C683" s="8"/>
      <c r="D683" s="8"/>
      <c r="E683" s="33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23.25" customHeight="1" x14ac:dyDescent="0.45">
      <c r="A684" s="8"/>
      <c r="B684" s="17"/>
      <c r="C684" s="8"/>
      <c r="D684" s="8"/>
      <c r="E684" s="33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23.25" customHeight="1" x14ac:dyDescent="0.45">
      <c r="A685" s="8"/>
      <c r="B685" s="17"/>
      <c r="C685" s="8"/>
      <c r="D685" s="8"/>
      <c r="E685" s="33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23.25" customHeight="1" x14ac:dyDescent="0.45">
      <c r="A686" s="8"/>
      <c r="B686" s="17"/>
      <c r="C686" s="8"/>
      <c r="D686" s="8"/>
      <c r="E686" s="33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23.25" customHeight="1" x14ac:dyDescent="0.45">
      <c r="A687" s="8"/>
      <c r="B687" s="17"/>
      <c r="C687" s="8"/>
      <c r="D687" s="8"/>
      <c r="E687" s="33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23.25" customHeight="1" x14ac:dyDescent="0.45">
      <c r="A688" s="8"/>
      <c r="B688" s="17"/>
      <c r="C688" s="8"/>
      <c r="D688" s="8"/>
      <c r="E688" s="33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23.25" customHeight="1" x14ac:dyDescent="0.45">
      <c r="A689" s="8"/>
      <c r="B689" s="17"/>
      <c r="C689" s="8"/>
      <c r="D689" s="8"/>
      <c r="E689" s="33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23.25" customHeight="1" x14ac:dyDescent="0.45">
      <c r="A690" s="8"/>
      <c r="B690" s="17"/>
      <c r="C690" s="8"/>
      <c r="D690" s="8"/>
      <c r="E690" s="33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23.25" customHeight="1" x14ac:dyDescent="0.45">
      <c r="A691" s="8"/>
      <c r="B691" s="17"/>
      <c r="C691" s="8"/>
      <c r="D691" s="8"/>
      <c r="E691" s="33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23.25" customHeight="1" x14ac:dyDescent="0.45">
      <c r="A692" s="8"/>
      <c r="B692" s="17"/>
      <c r="C692" s="8"/>
      <c r="D692" s="8"/>
      <c r="E692" s="33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23.25" customHeight="1" x14ac:dyDescent="0.45">
      <c r="A693" s="8"/>
      <c r="B693" s="17"/>
      <c r="C693" s="8"/>
      <c r="D693" s="8"/>
      <c r="E693" s="33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23.25" customHeight="1" x14ac:dyDescent="0.45">
      <c r="A694" s="8"/>
      <c r="B694" s="17"/>
      <c r="C694" s="8"/>
      <c r="D694" s="8"/>
      <c r="E694" s="33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23.25" customHeight="1" x14ac:dyDescent="0.45">
      <c r="A695" s="8"/>
      <c r="B695" s="17"/>
      <c r="C695" s="8"/>
      <c r="D695" s="8"/>
      <c r="E695" s="33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23.25" customHeight="1" x14ac:dyDescent="0.45">
      <c r="A696" s="8"/>
      <c r="B696" s="17"/>
      <c r="C696" s="8"/>
      <c r="D696" s="8"/>
      <c r="E696" s="33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23.25" customHeight="1" x14ac:dyDescent="0.45">
      <c r="A697" s="8"/>
      <c r="B697" s="17"/>
      <c r="C697" s="8"/>
      <c r="D697" s="8"/>
      <c r="E697" s="33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23.25" customHeight="1" x14ac:dyDescent="0.45">
      <c r="A698" s="8"/>
      <c r="B698" s="17"/>
      <c r="C698" s="8"/>
      <c r="D698" s="8"/>
      <c r="E698" s="33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23.25" customHeight="1" x14ac:dyDescent="0.45">
      <c r="A699" s="8"/>
      <c r="B699" s="17"/>
      <c r="C699" s="8"/>
      <c r="D699" s="8"/>
      <c r="E699" s="33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23.25" customHeight="1" x14ac:dyDescent="0.45">
      <c r="A700" s="8"/>
      <c r="B700" s="17"/>
      <c r="C700" s="8"/>
      <c r="D700" s="8"/>
      <c r="E700" s="33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23.25" customHeight="1" x14ac:dyDescent="0.45">
      <c r="A701" s="8"/>
      <c r="B701" s="17"/>
      <c r="C701" s="8"/>
      <c r="D701" s="8"/>
      <c r="E701" s="33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23.25" customHeight="1" x14ac:dyDescent="0.45">
      <c r="A702" s="8"/>
      <c r="B702" s="17"/>
      <c r="C702" s="8"/>
      <c r="D702" s="8"/>
      <c r="E702" s="33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23.25" customHeight="1" x14ac:dyDescent="0.45">
      <c r="A703" s="8"/>
      <c r="B703" s="17"/>
      <c r="C703" s="8"/>
      <c r="D703" s="8"/>
      <c r="E703" s="33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23.25" customHeight="1" x14ac:dyDescent="0.45">
      <c r="A704" s="8"/>
      <c r="B704" s="17"/>
      <c r="C704" s="8"/>
      <c r="D704" s="8"/>
      <c r="E704" s="33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23.25" customHeight="1" x14ac:dyDescent="0.45">
      <c r="A705" s="8"/>
      <c r="B705" s="17"/>
      <c r="C705" s="8"/>
      <c r="D705" s="8"/>
      <c r="E705" s="33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23.25" customHeight="1" x14ac:dyDescent="0.45">
      <c r="A706" s="8"/>
      <c r="B706" s="17"/>
      <c r="C706" s="8"/>
      <c r="D706" s="8"/>
      <c r="E706" s="33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23.25" customHeight="1" x14ac:dyDescent="0.45">
      <c r="A707" s="8"/>
      <c r="B707" s="17"/>
      <c r="C707" s="8"/>
      <c r="D707" s="8"/>
      <c r="E707" s="33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23.25" customHeight="1" x14ac:dyDescent="0.45">
      <c r="A708" s="8"/>
      <c r="B708" s="17"/>
      <c r="C708" s="8"/>
      <c r="D708" s="8"/>
      <c r="E708" s="33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23.25" customHeight="1" x14ac:dyDescent="0.45">
      <c r="A709" s="8"/>
      <c r="B709" s="17"/>
      <c r="C709" s="8"/>
      <c r="D709" s="8"/>
      <c r="E709" s="33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23.25" customHeight="1" x14ac:dyDescent="0.45">
      <c r="A710" s="8"/>
      <c r="B710" s="17"/>
      <c r="C710" s="8"/>
      <c r="D710" s="8"/>
      <c r="E710" s="33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23.25" customHeight="1" x14ac:dyDescent="0.45">
      <c r="A711" s="8"/>
      <c r="B711" s="17"/>
      <c r="C711" s="8"/>
      <c r="D711" s="8"/>
      <c r="E711" s="33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23.25" customHeight="1" x14ac:dyDescent="0.45">
      <c r="A712" s="8"/>
      <c r="B712" s="17"/>
      <c r="C712" s="8"/>
      <c r="D712" s="8"/>
      <c r="E712" s="33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23.25" customHeight="1" x14ac:dyDescent="0.45">
      <c r="A713" s="8"/>
      <c r="B713" s="17"/>
      <c r="C713" s="8"/>
      <c r="D713" s="8"/>
      <c r="E713" s="33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23.25" customHeight="1" x14ac:dyDescent="0.45">
      <c r="A714" s="8"/>
      <c r="B714" s="17"/>
      <c r="C714" s="8"/>
      <c r="D714" s="8"/>
      <c r="E714" s="33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23.25" customHeight="1" x14ac:dyDescent="0.45">
      <c r="A715" s="8"/>
      <c r="B715" s="17"/>
      <c r="C715" s="8"/>
      <c r="D715" s="8"/>
      <c r="E715" s="33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23.25" customHeight="1" x14ac:dyDescent="0.45">
      <c r="A716" s="8"/>
      <c r="B716" s="17"/>
      <c r="C716" s="8"/>
      <c r="D716" s="8"/>
      <c r="E716" s="33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23.25" customHeight="1" x14ac:dyDescent="0.45">
      <c r="A717" s="8"/>
      <c r="B717" s="17"/>
      <c r="C717" s="8"/>
      <c r="D717" s="8"/>
      <c r="E717" s="33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23.25" customHeight="1" x14ac:dyDescent="0.45">
      <c r="A718" s="8"/>
      <c r="B718" s="17"/>
      <c r="C718" s="8"/>
      <c r="D718" s="8"/>
      <c r="E718" s="33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23.25" customHeight="1" x14ac:dyDescent="0.45">
      <c r="A719" s="8"/>
      <c r="B719" s="17"/>
      <c r="C719" s="8"/>
      <c r="D719" s="8"/>
      <c r="E719" s="33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23.25" customHeight="1" x14ac:dyDescent="0.45">
      <c r="A720" s="8"/>
      <c r="B720" s="17"/>
      <c r="C720" s="8"/>
      <c r="D720" s="8"/>
      <c r="E720" s="33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23.25" customHeight="1" x14ac:dyDescent="0.45">
      <c r="A721" s="8"/>
      <c r="B721" s="17"/>
      <c r="C721" s="8"/>
      <c r="D721" s="8"/>
      <c r="E721" s="33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23.25" customHeight="1" x14ac:dyDescent="0.45">
      <c r="A722" s="8"/>
      <c r="B722" s="17"/>
      <c r="C722" s="8"/>
      <c r="D722" s="8"/>
      <c r="E722" s="33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23.25" customHeight="1" x14ac:dyDescent="0.45">
      <c r="A723" s="8"/>
      <c r="B723" s="17"/>
      <c r="C723" s="8"/>
      <c r="D723" s="8"/>
      <c r="E723" s="33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23.25" customHeight="1" x14ac:dyDescent="0.45">
      <c r="A724" s="8"/>
      <c r="B724" s="17"/>
      <c r="C724" s="8"/>
      <c r="D724" s="8"/>
      <c r="E724" s="33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23.25" customHeight="1" x14ac:dyDescent="0.45">
      <c r="A725" s="8"/>
      <c r="B725" s="17"/>
      <c r="C725" s="8"/>
      <c r="D725" s="8"/>
      <c r="E725" s="33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23.25" customHeight="1" x14ac:dyDescent="0.45">
      <c r="A726" s="8"/>
      <c r="B726" s="17"/>
      <c r="C726" s="8"/>
      <c r="D726" s="8"/>
      <c r="E726" s="33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23.25" customHeight="1" x14ac:dyDescent="0.45">
      <c r="A727" s="8"/>
      <c r="B727" s="17"/>
      <c r="C727" s="8"/>
      <c r="D727" s="8"/>
      <c r="E727" s="33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23.25" customHeight="1" x14ac:dyDescent="0.45">
      <c r="A728" s="8"/>
      <c r="B728" s="17"/>
      <c r="C728" s="8"/>
      <c r="D728" s="8"/>
      <c r="E728" s="33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23.25" customHeight="1" x14ac:dyDescent="0.45">
      <c r="A729" s="8"/>
      <c r="B729" s="17"/>
      <c r="C729" s="8"/>
      <c r="D729" s="8"/>
      <c r="E729" s="33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23.25" customHeight="1" x14ac:dyDescent="0.45">
      <c r="A730" s="8"/>
      <c r="B730" s="17"/>
      <c r="C730" s="8"/>
      <c r="D730" s="8"/>
      <c r="E730" s="33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23.25" customHeight="1" x14ac:dyDescent="0.45">
      <c r="A731" s="8"/>
      <c r="B731" s="17"/>
      <c r="C731" s="8"/>
      <c r="D731" s="8"/>
      <c r="E731" s="33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23.25" customHeight="1" x14ac:dyDescent="0.45">
      <c r="A732" s="8"/>
      <c r="B732" s="17"/>
      <c r="C732" s="8"/>
      <c r="D732" s="8"/>
      <c r="E732" s="33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23.25" customHeight="1" x14ac:dyDescent="0.45">
      <c r="A733" s="8"/>
      <c r="B733" s="17"/>
      <c r="C733" s="8"/>
      <c r="D733" s="8"/>
      <c r="E733" s="33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23.25" customHeight="1" x14ac:dyDescent="0.45">
      <c r="A734" s="8"/>
      <c r="B734" s="17"/>
      <c r="C734" s="8"/>
      <c r="D734" s="8"/>
      <c r="E734" s="33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23.25" customHeight="1" x14ac:dyDescent="0.45">
      <c r="A735" s="8"/>
      <c r="B735" s="17"/>
      <c r="C735" s="8"/>
      <c r="D735" s="8"/>
      <c r="E735" s="33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23.25" customHeight="1" x14ac:dyDescent="0.45">
      <c r="A736" s="8"/>
      <c r="B736" s="17"/>
      <c r="C736" s="8"/>
      <c r="D736" s="8"/>
      <c r="E736" s="33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23.25" customHeight="1" x14ac:dyDescent="0.45">
      <c r="A737" s="8"/>
      <c r="B737" s="17"/>
      <c r="C737" s="8"/>
      <c r="D737" s="8"/>
      <c r="E737" s="33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23.25" customHeight="1" x14ac:dyDescent="0.45">
      <c r="A738" s="8"/>
      <c r="B738" s="17"/>
      <c r="C738" s="8"/>
      <c r="D738" s="8"/>
      <c r="E738" s="33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23.25" customHeight="1" x14ac:dyDescent="0.45">
      <c r="A739" s="8"/>
      <c r="B739" s="17"/>
      <c r="C739" s="8"/>
      <c r="D739" s="8"/>
      <c r="E739" s="33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23.25" customHeight="1" x14ac:dyDescent="0.45">
      <c r="A740" s="8"/>
      <c r="B740" s="17"/>
      <c r="C740" s="8"/>
      <c r="D740" s="8"/>
      <c r="E740" s="33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23.25" customHeight="1" x14ac:dyDescent="0.45">
      <c r="A741" s="8"/>
      <c r="B741" s="17"/>
      <c r="C741" s="8"/>
      <c r="D741" s="8"/>
      <c r="E741" s="33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23.25" customHeight="1" x14ac:dyDescent="0.45">
      <c r="A742" s="8"/>
      <c r="B742" s="17"/>
      <c r="C742" s="8"/>
      <c r="D742" s="8"/>
      <c r="E742" s="33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23.25" customHeight="1" x14ac:dyDescent="0.45">
      <c r="A743" s="8"/>
      <c r="B743" s="17"/>
      <c r="C743" s="8"/>
      <c r="D743" s="8"/>
      <c r="E743" s="33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23.25" customHeight="1" x14ac:dyDescent="0.45">
      <c r="A744" s="8"/>
      <c r="B744" s="17"/>
      <c r="C744" s="8"/>
      <c r="D744" s="8"/>
      <c r="E744" s="33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23.25" customHeight="1" x14ac:dyDescent="0.45">
      <c r="A745" s="8"/>
      <c r="B745" s="17"/>
      <c r="C745" s="8"/>
      <c r="D745" s="8"/>
      <c r="E745" s="33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23.25" customHeight="1" x14ac:dyDescent="0.45">
      <c r="A746" s="8"/>
      <c r="B746" s="17"/>
      <c r="C746" s="8"/>
      <c r="D746" s="8"/>
      <c r="E746" s="33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23.25" customHeight="1" x14ac:dyDescent="0.45">
      <c r="A747" s="8"/>
      <c r="B747" s="17"/>
      <c r="C747" s="8"/>
      <c r="D747" s="8"/>
      <c r="E747" s="33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23.25" customHeight="1" x14ac:dyDescent="0.45">
      <c r="A748" s="8"/>
      <c r="B748" s="17"/>
      <c r="C748" s="8"/>
      <c r="D748" s="8"/>
      <c r="E748" s="33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23.25" customHeight="1" x14ac:dyDescent="0.45">
      <c r="A749" s="8"/>
      <c r="B749" s="17"/>
      <c r="C749" s="8"/>
      <c r="D749" s="8"/>
      <c r="E749" s="33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23.25" customHeight="1" x14ac:dyDescent="0.45">
      <c r="A750" s="8"/>
      <c r="B750" s="17"/>
      <c r="C750" s="8"/>
      <c r="D750" s="8"/>
      <c r="E750" s="33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23.25" customHeight="1" x14ac:dyDescent="0.45">
      <c r="A751" s="8"/>
      <c r="B751" s="17"/>
      <c r="C751" s="8"/>
      <c r="D751" s="8"/>
      <c r="E751" s="33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23.25" customHeight="1" x14ac:dyDescent="0.45">
      <c r="A752" s="8"/>
      <c r="B752" s="17"/>
      <c r="C752" s="8"/>
      <c r="D752" s="8"/>
      <c r="E752" s="33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23.25" customHeight="1" x14ac:dyDescent="0.45">
      <c r="A753" s="8"/>
      <c r="B753" s="17"/>
      <c r="C753" s="8"/>
      <c r="D753" s="8"/>
      <c r="E753" s="33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23.25" customHeight="1" x14ac:dyDescent="0.45">
      <c r="A754" s="8"/>
      <c r="B754" s="17"/>
      <c r="C754" s="8"/>
      <c r="D754" s="8"/>
      <c r="E754" s="33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23.25" customHeight="1" x14ac:dyDescent="0.45">
      <c r="A755" s="8"/>
      <c r="B755" s="17"/>
      <c r="C755" s="8"/>
      <c r="D755" s="8"/>
      <c r="E755" s="33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23.25" customHeight="1" x14ac:dyDescent="0.45">
      <c r="A756" s="8"/>
      <c r="B756" s="17"/>
      <c r="C756" s="8"/>
      <c r="D756" s="8"/>
      <c r="E756" s="33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23.25" customHeight="1" x14ac:dyDescent="0.45">
      <c r="A757" s="8"/>
      <c r="B757" s="17"/>
      <c r="C757" s="8"/>
      <c r="D757" s="8"/>
      <c r="E757" s="33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23.25" customHeight="1" x14ac:dyDescent="0.45">
      <c r="A758" s="8"/>
      <c r="B758" s="17"/>
      <c r="C758" s="8"/>
      <c r="D758" s="8"/>
      <c r="E758" s="33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23.25" customHeight="1" x14ac:dyDescent="0.45">
      <c r="A759" s="8"/>
      <c r="B759" s="17"/>
      <c r="C759" s="8"/>
      <c r="D759" s="8"/>
      <c r="E759" s="33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23.25" customHeight="1" x14ac:dyDescent="0.45">
      <c r="A760" s="8"/>
      <c r="B760" s="17"/>
      <c r="C760" s="8"/>
      <c r="D760" s="8"/>
      <c r="E760" s="33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23.25" customHeight="1" x14ac:dyDescent="0.45">
      <c r="A761" s="8"/>
      <c r="B761" s="17"/>
      <c r="C761" s="8"/>
      <c r="D761" s="8"/>
      <c r="E761" s="33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23.25" customHeight="1" x14ac:dyDescent="0.45">
      <c r="A762" s="8"/>
      <c r="B762" s="17"/>
      <c r="C762" s="8"/>
      <c r="D762" s="8"/>
      <c r="E762" s="33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23.25" customHeight="1" x14ac:dyDescent="0.45">
      <c r="A763" s="8"/>
      <c r="B763" s="17"/>
      <c r="C763" s="8"/>
      <c r="D763" s="8"/>
      <c r="E763" s="33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23.25" customHeight="1" x14ac:dyDescent="0.45">
      <c r="A764" s="8"/>
      <c r="B764" s="17"/>
      <c r="C764" s="8"/>
      <c r="D764" s="8"/>
      <c r="E764" s="33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23.25" customHeight="1" x14ac:dyDescent="0.45">
      <c r="A765" s="8"/>
      <c r="B765" s="17"/>
      <c r="C765" s="8"/>
      <c r="D765" s="8"/>
      <c r="E765" s="33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23.25" customHeight="1" x14ac:dyDescent="0.45">
      <c r="A766" s="8"/>
      <c r="B766" s="17"/>
      <c r="C766" s="8"/>
      <c r="D766" s="8"/>
      <c r="E766" s="33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23.25" customHeight="1" x14ac:dyDescent="0.45">
      <c r="A767" s="8"/>
      <c r="B767" s="17"/>
      <c r="C767" s="8"/>
      <c r="D767" s="8"/>
      <c r="E767" s="33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23.25" customHeight="1" x14ac:dyDescent="0.45">
      <c r="A768" s="8"/>
      <c r="B768" s="17"/>
      <c r="C768" s="8"/>
      <c r="D768" s="8"/>
      <c r="E768" s="33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23.25" customHeight="1" x14ac:dyDescent="0.45">
      <c r="A769" s="8"/>
      <c r="B769" s="17"/>
      <c r="C769" s="8"/>
      <c r="D769" s="8"/>
      <c r="E769" s="33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23.25" customHeight="1" x14ac:dyDescent="0.45">
      <c r="A770" s="8"/>
      <c r="B770" s="17"/>
      <c r="C770" s="8"/>
      <c r="D770" s="8"/>
      <c r="E770" s="33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23.25" customHeight="1" x14ac:dyDescent="0.45">
      <c r="A771" s="8"/>
      <c r="B771" s="17"/>
      <c r="C771" s="8"/>
      <c r="D771" s="8"/>
      <c r="E771" s="33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23.25" customHeight="1" x14ac:dyDescent="0.45">
      <c r="A772" s="8"/>
      <c r="B772" s="17"/>
      <c r="C772" s="8"/>
      <c r="D772" s="8"/>
      <c r="E772" s="33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23.25" customHeight="1" x14ac:dyDescent="0.45">
      <c r="A773" s="8"/>
      <c r="B773" s="17"/>
      <c r="C773" s="8"/>
      <c r="D773" s="8"/>
      <c r="E773" s="33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23.25" customHeight="1" x14ac:dyDescent="0.45">
      <c r="A774" s="8"/>
      <c r="B774" s="17"/>
      <c r="C774" s="8"/>
      <c r="D774" s="8"/>
      <c r="E774" s="33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23.25" customHeight="1" x14ac:dyDescent="0.45">
      <c r="A775" s="8"/>
      <c r="B775" s="17"/>
      <c r="C775" s="8"/>
      <c r="D775" s="8"/>
      <c r="E775" s="33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23.25" customHeight="1" x14ac:dyDescent="0.45">
      <c r="A776" s="8"/>
      <c r="B776" s="17"/>
      <c r="C776" s="8"/>
      <c r="D776" s="8"/>
      <c r="E776" s="33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23.25" customHeight="1" x14ac:dyDescent="0.45">
      <c r="A777" s="8"/>
      <c r="B777" s="17"/>
      <c r="C777" s="8"/>
      <c r="D777" s="8"/>
      <c r="E777" s="33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23.25" customHeight="1" x14ac:dyDescent="0.45">
      <c r="A778" s="8"/>
      <c r="B778" s="17"/>
      <c r="C778" s="8"/>
      <c r="D778" s="8"/>
      <c r="E778" s="33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23.25" customHeight="1" x14ac:dyDescent="0.45">
      <c r="A779" s="8"/>
      <c r="B779" s="17"/>
      <c r="C779" s="8"/>
      <c r="D779" s="8"/>
      <c r="E779" s="33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23.25" customHeight="1" x14ac:dyDescent="0.45">
      <c r="A780" s="8"/>
      <c r="B780" s="17"/>
      <c r="C780" s="8"/>
      <c r="D780" s="8"/>
      <c r="E780" s="33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23.25" customHeight="1" x14ac:dyDescent="0.45">
      <c r="A781" s="8"/>
      <c r="B781" s="17"/>
      <c r="C781" s="8"/>
      <c r="D781" s="8"/>
      <c r="E781" s="33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23.25" customHeight="1" x14ac:dyDescent="0.45">
      <c r="A782" s="8"/>
      <c r="B782" s="17"/>
      <c r="C782" s="8"/>
      <c r="D782" s="8"/>
      <c r="E782" s="33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23.25" customHeight="1" x14ac:dyDescent="0.45">
      <c r="A783" s="8"/>
      <c r="B783" s="17"/>
      <c r="C783" s="8"/>
      <c r="D783" s="8"/>
      <c r="E783" s="33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23.25" customHeight="1" x14ac:dyDescent="0.45">
      <c r="A784" s="8"/>
      <c r="B784" s="17"/>
      <c r="C784" s="8"/>
      <c r="D784" s="8"/>
      <c r="E784" s="33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23.25" customHeight="1" x14ac:dyDescent="0.45">
      <c r="A785" s="8"/>
      <c r="B785" s="17"/>
      <c r="C785" s="8"/>
      <c r="D785" s="8"/>
      <c r="E785" s="33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23.25" customHeight="1" x14ac:dyDescent="0.45">
      <c r="A786" s="8"/>
      <c r="B786" s="17"/>
      <c r="C786" s="8"/>
      <c r="D786" s="8"/>
      <c r="E786" s="33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23.25" customHeight="1" x14ac:dyDescent="0.45">
      <c r="A787" s="8"/>
      <c r="B787" s="17"/>
      <c r="C787" s="8"/>
      <c r="D787" s="8"/>
      <c r="E787" s="33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23.25" customHeight="1" x14ac:dyDescent="0.45">
      <c r="A788" s="8"/>
      <c r="B788" s="17"/>
      <c r="C788" s="8"/>
      <c r="D788" s="8"/>
      <c r="E788" s="33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23.25" customHeight="1" x14ac:dyDescent="0.45">
      <c r="A789" s="8"/>
      <c r="B789" s="17"/>
      <c r="C789" s="8"/>
      <c r="D789" s="8"/>
      <c r="E789" s="33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23.25" customHeight="1" x14ac:dyDescent="0.45">
      <c r="A790" s="8"/>
      <c r="B790" s="17"/>
      <c r="C790" s="8"/>
      <c r="D790" s="8"/>
      <c r="E790" s="33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23.25" customHeight="1" x14ac:dyDescent="0.45">
      <c r="A791" s="8"/>
      <c r="B791" s="17"/>
      <c r="C791" s="8"/>
      <c r="D791" s="8"/>
      <c r="E791" s="33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23.25" customHeight="1" x14ac:dyDescent="0.45">
      <c r="A792" s="8"/>
      <c r="B792" s="17"/>
      <c r="C792" s="8"/>
      <c r="D792" s="8"/>
      <c r="E792" s="33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23.25" customHeight="1" x14ac:dyDescent="0.45">
      <c r="A793" s="8"/>
      <c r="B793" s="17"/>
      <c r="C793" s="8"/>
      <c r="D793" s="8"/>
      <c r="E793" s="33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23.25" customHeight="1" x14ac:dyDescent="0.45">
      <c r="A794" s="8"/>
      <c r="B794" s="17"/>
      <c r="C794" s="8"/>
      <c r="D794" s="8"/>
      <c r="E794" s="33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23.25" customHeight="1" x14ac:dyDescent="0.45">
      <c r="A795" s="8"/>
      <c r="B795" s="17"/>
      <c r="C795" s="8"/>
      <c r="D795" s="8"/>
      <c r="E795" s="33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23.25" customHeight="1" x14ac:dyDescent="0.45">
      <c r="A796" s="8"/>
      <c r="B796" s="17"/>
      <c r="C796" s="8"/>
      <c r="D796" s="8"/>
      <c r="E796" s="33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23.25" customHeight="1" x14ac:dyDescent="0.45">
      <c r="A797" s="8"/>
      <c r="B797" s="17"/>
      <c r="C797" s="8"/>
      <c r="D797" s="8"/>
      <c r="E797" s="33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23.25" customHeight="1" x14ac:dyDescent="0.45">
      <c r="A798" s="8"/>
      <c r="B798" s="17"/>
      <c r="C798" s="8"/>
      <c r="D798" s="8"/>
      <c r="E798" s="33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23.25" customHeight="1" x14ac:dyDescent="0.45">
      <c r="A799" s="8"/>
      <c r="B799" s="17"/>
      <c r="C799" s="8"/>
      <c r="D799" s="8"/>
      <c r="E799" s="33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23.25" customHeight="1" x14ac:dyDescent="0.45">
      <c r="A800" s="8"/>
      <c r="B800" s="17"/>
      <c r="C800" s="8"/>
      <c r="D800" s="8"/>
      <c r="E800" s="33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23.25" customHeight="1" x14ac:dyDescent="0.45">
      <c r="A801" s="8"/>
      <c r="B801" s="17"/>
      <c r="C801" s="8"/>
      <c r="D801" s="8"/>
      <c r="E801" s="33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23.25" customHeight="1" x14ac:dyDescent="0.45">
      <c r="A802" s="8"/>
      <c r="B802" s="17"/>
      <c r="C802" s="8"/>
      <c r="D802" s="8"/>
      <c r="E802" s="33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23.25" customHeight="1" x14ac:dyDescent="0.45">
      <c r="A803" s="8"/>
      <c r="B803" s="17"/>
      <c r="C803" s="8"/>
      <c r="D803" s="8"/>
      <c r="E803" s="33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23.25" customHeight="1" x14ac:dyDescent="0.45">
      <c r="A804" s="8"/>
      <c r="B804" s="17"/>
      <c r="C804" s="8"/>
      <c r="D804" s="8"/>
      <c r="E804" s="33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23.25" customHeight="1" x14ac:dyDescent="0.45">
      <c r="A805" s="8"/>
      <c r="B805" s="17"/>
      <c r="C805" s="8"/>
      <c r="D805" s="8"/>
      <c r="E805" s="33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23.25" customHeight="1" x14ac:dyDescent="0.45">
      <c r="A806" s="8"/>
      <c r="B806" s="17"/>
      <c r="C806" s="8"/>
      <c r="D806" s="8"/>
      <c r="E806" s="33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23.25" customHeight="1" x14ac:dyDescent="0.45">
      <c r="A807" s="8"/>
      <c r="B807" s="17"/>
      <c r="C807" s="8"/>
      <c r="D807" s="8"/>
      <c r="E807" s="33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23.25" customHeight="1" x14ac:dyDescent="0.45">
      <c r="A808" s="8"/>
      <c r="B808" s="17"/>
      <c r="C808" s="8"/>
      <c r="D808" s="8"/>
      <c r="E808" s="33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23.25" customHeight="1" x14ac:dyDescent="0.45">
      <c r="A809" s="8"/>
      <c r="B809" s="17"/>
      <c r="C809" s="8"/>
      <c r="D809" s="8"/>
      <c r="E809" s="33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23.25" customHeight="1" x14ac:dyDescent="0.45">
      <c r="A810" s="8"/>
      <c r="B810" s="17"/>
      <c r="C810" s="8"/>
      <c r="D810" s="8"/>
      <c r="E810" s="33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23.25" customHeight="1" x14ac:dyDescent="0.45">
      <c r="A811" s="8"/>
      <c r="B811" s="17"/>
      <c r="C811" s="8"/>
      <c r="D811" s="8"/>
      <c r="E811" s="33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23.25" customHeight="1" x14ac:dyDescent="0.45">
      <c r="A812" s="8"/>
      <c r="B812" s="17"/>
      <c r="C812" s="8"/>
      <c r="D812" s="8"/>
      <c r="E812" s="33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23.25" customHeight="1" x14ac:dyDescent="0.45">
      <c r="A813" s="8"/>
      <c r="B813" s="17"/>
      <c r="C813" s="8"/>
      <c r="D813" s="8"/>
      <c r="E813" s="33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23.25" customHeight="1" x14ac:dyDescent="0.45">
      <c r="A814" s="8"/>
      <c r="B814" s="17"/>
      <c r="C814" s="8"/>
      <c r="D814" s="8"/>
      <c r="E814" s="33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23.25" customHeight="1" x14ac:dyDescent="0.45">
      <c r="A815" s="8"/>
      <c r="B815" s="17"/>
      <c r="C815" s="8"/>
      <c r="D815" s="8"/>
      <c r="E815" s="33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23.25" customHeight="1" x14ac:dyDescent="0.45">
      <c r="A816" s="8"/>
      <c r="B816" s="17"/>
      <c r="C816" s="8"/>
      <c r="D816" s="8"/>
      <c r="E816" s="33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23.25" customHeight="1" x14ac:dyDescent="0.45">
      <c r="A817" s="8"/>
      <c r="B817" s="17"/>
      <c r="C817" s="8"/>
      <c r="D817" s="8"/>
      <c r="E817" s="33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23.25" customHeight="1" x14ac:dyDescent="0.45">
      <c r="A818" s="8"/>
      <c r="B818" s="17"/>
      <c r="C818" s="8"/>
      <c r="D818" s="8"/>
      <c r="E818" s="33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23.25" customHeight="1" x14ac:dyDescent="0.45">
      <c r="A819" s="8"/>
      <c r="B819" s="17"/>
      <c r="C819" s="8"/>
      <c r="D819" s="8"/>
      <c r="E819" s="33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23.25" customHeight="1" x14ac:dyDescent="0.45">
      <c r="A820" s="8"/>
      <c r="B820" s="17"/>
      <c r="C820" s="8"/>
      <c r="D820" s="8"/>
      <c r="E820" s="33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23.25" customHeight="1" x14ac:dyDescent="0.45">
      <c r="A821" s="8"/>
      <c r="B821" s="17"/>
      <c r="C821" s="8"/>
      <c r="D821" s="8"/>
      <c r="E821" s="33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23.25" customHeight="1" x14ac:dyDescent="0.45">
      <c r="A822" s="8"/>
      <c r="B822" s="17"/>
      <c r="C822" s="8"/>
      <c r="D822" s="8"/>
      <c r="E822" s="33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23.25" customHeight="1" x14ac:dyDescent="0.45">
      <c r="A823" s="8"/>
      <c r="B823" s="17"/>
      <c r="C823" s="8"/>
      <c r="D823" s="8"/>
      <c r="E823" s="33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23.25" customHeight="1" x14ac:dyDescent="0.45">
      <c r="A824" s="8"/>
      <c r="B824" s="17"/>
      <c r="C824" s="8"/>
      <c r="D824" s="8"/>
      <c r="E824" s="33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23.25" customHeight="1" x14ac:dyDescent="0.45">
      <c r="A825" s="8"/>
      <c r="B825" s="17"/>
      <c r="C825" s="8"/>
      <c r="D825" s="8"/>
      <c r="E825" s="33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23.25" customHeight="1" x14ac:dyDescent="0.45">
      <c r="A826" s="8"/>
      <c r="B826" s="17"/>
      <c r="C826" s="8"/>
      <c r="D826" s="8"/>
      <c r="E826" s="33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23.25" customHeight="1" x14ac:dyDescent="0.45">
      <c r="A827" s="8"/>
      <c r="B827" s="17"/>
      <c r="C827" s="8"/>
      <c r="D827" s="8"/>
      <c r="E827" s="33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23.25" customHeight="1" x14ac:dyDescent="0.45">
      <c r="A828" s="8"/>
      <c r="B828" s="17"/>
      <c r="C828" s="8"/>
      <c r="D828" s="8"/>
      <c r="E828" s="33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23.25" customHeight="1" x14ac:dyDescent="0.45">
      <c r="A829" s="8"/>
      <c r="B829" s="17"/>
      <c r="C829" s="8"/>
      <c r="D829" s="8"/>
      <c r="E829" s="33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23.25" customHeight="1" x14ac:dyDescent="0.45">
      <c r="A830" s="8"/>
      <c r="B830" s="17"/>
      <c r="C830" s="8"/>
      <c r="D830" s="8"/>
      <c r="E830" s="33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23.25" customHeight="1" x14ac:dyDescent="0.45">
      <c r="A831" s="8"/>
      <c r="B831" s="17"/>
      <c r="C831" s="8"/>
      <c r="D831" s="8"/>
      <c r="E831" s="33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23.25" customHeight="1" x14ac:dyDescent="0.45">
      <c r="A832" s="8"/>
      <c r="B832" s="17"/>
      <c r="C832" s="8"/>
      <c r="D832" s="8"/>
      <c r="E832" s="33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23.25" customHeight="1" x14ac:dyDescent="0.45">
      <c r="A833" s="8"/>
      <c r="B833" s="17"/>
      <c r="C833" s="8"/>
      <c r="D833" s="8"/>
      <c r="E833" s="33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23.25" customHeight="1" x14ac:dyDescent="0.45">
      <c r="A834" s="8"/>
      <c r="B834" s="17"/>
      <c r="C834" s="8"/>
      <c r="D834" s="8"/>
      <c r="E834" s="33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23.25" customHeight="1" x14ac:dyDescent="0.45">
      <c r="A835" s="8"/>
      <c r="B835" s="17"/>
      <c r="C835" s="8"/>
      <c r="D835" s="8"/>
      <c r="E835" s="33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23.25" customHeight="1" x14ac:dyDescent="0.45">
      <c r="A836" s="8"/>
      <c r="B836" s="17"/>
      <c r="C836" s="8"/>
      <c r="D836" s="8"/>
      <c r="E836" s="33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23.25" customHeight="1" x14ac:dyDescent="0.45">
      <c r="A837" s="8"/>
      <c r="B837" s="17"/>
      <c r="C837" s="8"/>
      <c r="D837" s="8"/>
      <c r="E837" s="33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23.25" customHeight="1" x14ac:dyDescent="0.45">
      <c r="A838" s="8"/>
      <c r="B838" s="17"/>
      <c r="C838" s="8"/>
      <c r="D838" s="8"/>
      <c r="E838" s="33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23.25" customHeight="1" x14ac:dyDescent="0.45">
      <c r="A839" s="8"/>
      <c r="B839" s="17"/>
      <c r="C839" s="8"/>
      <c r="D839" s="8"/>
      <c r="E839" s="33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23.25" customHeight="1" x14ac:dyDescent="0.45">
      <c r="A840" s="8"/>
      <c r="B840" s="17"/>
      <c r="C840" s="8"/>
      <c r="D840" s="8"/>
      <c r="E840" s="33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23.25" customHeight="1" x14ac:dyDescent="0.45">
      <c r="A841" s="8"/>
      <c r="B841" s="17"/>
      <c r="C841" s="8"/>
      <c r="D841" s="8"/>
      <c r="E841" s="33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23.25" customHeight="1" x14ac:dyDescent="0.45">
      <c r="A842" s="8"/>
      <c r="B842" s="17"/>
      <c r="C842" s="8"/>
      <c r="D842" s="8"/>
      <c r="E842" s="33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23.25" customHeight="1" x14ac:dyDescent="0.45">
      <c r="A843" s="8"/>
      <c r="B843" s="17"/>
      <c r="C843" s="8"/>
      <c r="D843" s="8"/>
      <c r="E843" s="33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23.25" customHeight="1" x14ac:dyDescent="0.45">
      <c r="A844" s="8"/>
      <c r="B844" s="17"/>
      <c r="C844" s="8"/>
      <c r="D844" s="8"/>
      <c r="E844" s="33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23.25" customHeight="1" x14ac:dyDescent="0.45">
      <c r="A845" s="8"/>
      <c r="B845" s="17"/>
      <c r="C845" s="8"/>
      <c r="D845" s="8"/>
      <c r="E845" s="33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23.25" customHeight="1" x14ac:dyDescent="0.45">
      <c r="A846" s="8"/>
      <c r="B846" s="17"/>
      <c r="C846" s="8"/>
      <c r="D846" s="8"/>
      <c r="E846" s="33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23.25" customHeight="1" x14ac:dyDescent="0.45">
      <c r="A847" s="8"/>
      <c r="B847" s="17"/>
      <c r="C847" s="8"/>
      <c r="D847" s="8"/>
      <c r="E847" s="33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23.25" customHeight="1" x14ac:dyDescent="0.45">
      <c r="A848" s="8"/>
      <c r="B848" s="17"/>
      <c r="C848" s="8"/>
      <c r="D848" s="8"/>
      <c r="E848" s="33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23.25" customHeight="1" x14ac:dyDescent="0.45">
      <c r="A849" s="8"/>
      <c r="B849" s="17"/>
      <c r="C849" s="8"/>
      <c r="D849" s="8"/>
      <c r="E849" s="33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23.25" customHeight="1" x14ac:dyDescent="0.45">
      <c r="A850" s="8"/>
      <c r="B850" s="17"/>
      <c r="C850" s="8"/>
      <c r="D850" s="8"/>
      <c r="E850" s="33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23.25" customHeight="1" x14ac:dyDescent="0.45">
      <c r="A851" s="8"/>
      <c r="B851" s="17"/>
      <c r="C851" s="8"/>
      <c r="D851" s="8"/>
      <c r="E851" s="33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23.25" customHeight="1" x14ac:dyDescent="0.45">
      <c r="A852" s="8"/>
      <c r="B852" s="17"/>
      <c r="C852" s="8"/>
      <c r="D852" s="8"/>
      <c r="E852" s="33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23.25" customHeight="1" x14ac:dyDescent="0.45">
      <c r="A853" s="8"/>
      <c r="B853" s="17"/>
      <c r="C853" s="8"/>
      <c r="D853" s="8"/>
      <c r="E853" s="33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23.25" customHeight="1" x14ac:dyDescent="0.45">
      <c r="A854" s="8"/>
      <c r="B854" s="17"/>
      <c r="C854" s="8"/>
      <c r="D854" s="8"/>
      <c r="E854" s="33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23.25" customHeight="1" x14ac:dyDescent="0.45">
      <c r="A855" s="8"/>
      <c r="B855" s="17"/>
      <c r="C855" s="8"/>
      <c r="D855" s="8"/>
      <c r="E855" s="33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23.25" customHeight="1" x14ac:dyDescent="0.45">
      <c r="A856" s="8"/>
      <c r="B856" s="17"/>
      <c r="C856" s="8"/>
      <c r="D856" s="8"/>
      <c r="E856" s="33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23.25" customHeight="1" x14ac:dyDescent="0.45">
      <c r="A857" s="8"/>
      <c r="B857" s="17"/>
      <c r="C857" s="8"/>
      <c r="D857" s="8"/>
      <c r="E857" s="33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23.25" customHeight="1" x14ac:dyDescent="0.45">
      <c r="A858" s="8"/>
      <c r="B858" s="17"/>
      <c r="C858" s="8"/>
      <c r="D858" s="8"/>
      <c r="E858" s="33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23.25" customHeight="1" x14ac:dyDescent="0.45">
      <c r="A859" s="8"/>
      <c r="B859" s="17"/>
      <c r="C859" s="8"/>
      <c r="D859" s="8"/>
      <c r="E859" s="33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23.25" customHeight="1" x14ac:dyDescent="0.45">
      <c r="A860" s="8"/>
      <c r="B860" s="17"/>
      <c r="C860" s="8"/>
      <c r="D860" s="8"/>
      <c r="E860" s="33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23.25" customHeight="1" x14ac:dyDescent="0.45">
      <c r="A861" s="8"/>
      <c r="B861" s="17"/>
      <c r="C861" s="8"/>
      <c r="D861" s="8"/>
      <c r="E861" s="33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23.25" customHeight="1" x14ac:dyDescent="0.45">
      <c r="A862" s="8"/>
      <c r="B862" s="17"/>
      <c r="C862" s="8"/>
      <c r="D862" s="8"/>
      <c r="E862" s="33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23.25" customHeight="1" x14ac:dyDescent="0.45">
      <c r="A863" s="8"/>
      <c r="B863" s="17"/>
      <c r="C863" s="8"/>
      <c r="D863" s="8"/>
      <c r="E863" s="33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23.25" customHeight="1" x14ac:dyDescent="0.45">
      <c r="A864" s="8"/>
      <c r="B864" s="17"/>
      <c r="C864" s="8"/>
      <c r="D864" s="8"/>
      <c r="E864" s="33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23.25" customHeight="1" x14ac:dyDescent="0.45">
      <c r="A865" s="8"/>
      <c r="B865" s="17"/>
      <c r="C865" s="8"/>
      <c r="D865" s="8"/>
      <c r="E865" s="33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23.25" customHeight="1" x14ac:dyDescent="0.45">
      <c r="A866" s="8"/>
      <c r="B866" s="17"/>
      <c r="C866" s="8"/>
      <c r="D866" s="8"/>
      <c r="E866" s="33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23.25" customHeight="1" x14ac:dyDescent="0.45">
      <c r="A867" s="8"/>
      <c r="B867" s="17"/>
      <c r="C867" s="8"/>
      <c r="D867" s="8"/>
      <c r="E867" s="33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23.25" customHeight="1" x14ac:dyDescent="0.45">
      <c r="A868" s="8"/>
      <c r="B868" s="17"/>
      <c r="C868" s="8"/>
      <c r="D868" s="8"/>
      <c r="E868" s="33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23.25" customHeight="1" x14ac:dyDescent="0.45">
      <c r="A869" s="8"/>
      <c r="B869" s="17"/>
      <c r="C869" s="8"/>
      <c r="D869" s="8"/>
      <c r="E869" s="33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23.25" customHeight="1" x14ac:dyDescent="0.45">
      <c r="A870" s="8"/>
      <c r="B870" s="17"/>
      <c r="C870" s="8"/>
      <c r="D870" s="8"/>
      <c r="E870" s="33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23.25" customHeight="1" x14ac:dyDescent="0.45">
      <c r="A871" s="8"/>
      <c r="B871" s="17"/>
      <c r="C871" s="8"/>
      <c r="D871" s="8"/>
      <c r="E871" s="33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23.25" customHeight="1" x14ac:dyDescent="0.45">
      <c r="A872" s="8"/>
      <c r="B872" s="17"/>
      <c r="C872" s="8"/>
      <c r="D872" s="8"/>
      <c r="E872" s="33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23.25" customHeight="1" x14ac:dyDescent="0.45">
      <c r="A873" s="8"/>
      <c r="B873" s="17"/>
      <c r="C873" s="8"/>
      <c r="D873" s="8"/>
      <c r="E873" s="33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23.25" customHeight="1" x14ac:dyDescent="0.45">
      <c r="A874" s="8"/>
      <c r="B874" s="17"/>
      <c r="C874" s="8"/>
      <c r="D874" s="8"/>
      <c r="E874" s="33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23.25" customHeight="1" x14ac:dyDescent="0.45">
      <c r="A875" s="8"/>
      <c r="B875" s="17"/>
      <c r="C875" s="8"/>
      <c r="D875" s="8"/>
      <c r="E875" s="33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23.25" customHeight="1" x14ac:dyDescent="0.45">
      <c r="A876" s="8"/>
      <c r="B876" s="17"/>
      <c r="C876" s="8"/>
      <c r="D876" s="8"/>
      <c r="E876" s="33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23.25" customHeight="1" x14ac:dyDescent="0.45">
      <c r="A877" s="8"/>
      <c r="B877" s="17"/>
      <c r="C877" s="8"/>
      <c r="D877" s="8"/>
      <c r="E877" s="33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23.25" customHeight="1" x14ac:dyDescent="0.45">
      <c r="A878" s="8"/>
      <c r="B878" s="17"/>
      <c r="C878" s="8"/>
      <c r="D878" s="8"/>
      <c r="E878" s="33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23.25" customHeight="1" x14ac:dyDescent="0.45">
      <c r="A879" s="8"/>
      <c r="B879" s="17"/>
      <c r="C879" s="8"/>
      <c r="D879" s="8"/>
      <c r="E879" s="33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23.25" customHeight="1" x14ac:dyDescent="0.45">
      <c r="A880" s="8"/>
      <c r="B880" s="17"/>
      <c r="C880" s="8"/>
      <c r="D880" s="8"/>
      <c r="E880" s="33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23.25" customHeight="1" x14ac:dyDescent="0.45">
      <c r="A881" s="8"/>
      <c r="B881" s="17"/>
      <c r="C881" s="8"/>
      <c r="D881" s="8"/>
      <c r="E881" s="33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23.25" customHeight="1" x14ac:dyDescent="0.45">
      <c r="A882" s="8"/>
      <c r="B882" s="17"/>
      <c r="C882" s="8"/>
      <c r="D882" s="8"/>
      <c r="E882" s="33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23.25" customHeight="1" x14ac:dyDescent="0.45">
      <c r="A883" s="8"/>
      <c r="B883" s="17"/>
      <c r="C883" s="8"/>
      <c r="D883" s="8"/>
      <c r="E883" s="33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23.25" customHeight="1" x14ac:dyDescent="0.45">
      <c r="A884" s="8"/>
      <c r="B884" s="17"/>
      <c r="C884" s="8"/>
      <c r="D884" s="8"/>
      <c r="E884" s="33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23.25" customHeight="1" x14ac:dyDescent="0.45">
      <c r="A885" s="8"/>
      <c r="B885" s="17"/>
      <c r="C885" s="8"/>
      <c r="D885" s="8"/>
      <c r="E885" s="33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23.25" customHeight="1" x14ac:dyDescent="0.45">
      <c r="A886" s="8"/>
      <c r="B886" s="17"/>
      <c r="C886" s="8"/>
      <c r="D886" s="8"/>
      <c r="E886" s="33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23.25" customHeight="1" x14ac:dyDescent="0.45">
      <c r="A887" s="8"/>
      <c r="B887" s="17"/>
      <c r="C887" s="8"/>
      <c r="D887" s="8"/>
      <c r="E887" s="33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23.25" customHeight="1" x14ac:dyDescent="0.45">
      <c r="A888" s="8"/>
      <c r="B888" s="17"/>
      <c r="C888" s="8"/>
      <c r="D888" s="8"/>
      <c r="E888" s="33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23.25" customHeight="1" x14ac:dyDescent="0.45">
      <c r="A889" s="8"/>
      <c r="B889" s="17"/>
      <c r="C889" s="8"/>
      <c r="D889" s="8"/>
      <c r="E889" s="33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23.25" customHeight="1" x14ac:dyDescent="0.45">
      <c r="A890" s="8"/>
      <c r="B890" s="17"/>
      <c r="C890" s="8"/>
      <c r="D890" s="8"/>
      <c r="E890" s="33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23.25" customHeight="1" x14ac:dyDescent="0.45">
      <c r="A891" s="8"/>
      <c r="B891" s="17"/>
      <c r="C891" s="8"/>
      <c r="D891" s="8"/>
      <c r="E891" s="33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23.25" customHeight="1" x14ac:dyDescent="0.45">
      <c r="A892" s="8"/>
      <c r="B892" s="17"/>
      <c r="C892" s="8"/>
      <c r="D892" s="8"/>
      <c r="E892" s="33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23.25" customHeight="1" x14ac:dyDescent="0.45">
      <c r="A893" s="8"/>
      <c r="B893" s="17"/>
      <c r="C893" s="8"/>
      <c r="D893" s="8"/>
      <c r="E893" s="33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23.25" customHeight="1" x14ac:dyDescent="0.45">
      <c r="A894" s="8"/>
      <c r="B894" s="17"/>
      <c r="C894" s="8"/>
      <c r="D894" s="8"/>
      <c r="E894" s="33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23.25" customHeight="1" x14ac:dyDescent="0.45">
      <c r="A895" s="8"/>
      <c r="B895" s="17"/>
      <c r="C895" s="8"/>
      <c r="D895" s="8"/>
      <c r="E895" s="33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23.25" customHeight="1" x14ac:dyDescent="0.45">
      <c r="A896" s="8"/>
      <c r="B896" s="17"/>
      <c r="C896" s="8"/>
      <c r="D896" s="8"/>
      <c r="E896" s="33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23.25" customHeight="1" x14ac:dyDescent="0.45">
      <c r="A897" s="8"/>
      <c r="B897" s="17"/>
      <c r="C897" s="8"/>
      <c r="D897" s="8"/>
      <c r="E897" s="33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23.25" customHeight="1" x14ac:dyDescent="0.45">
      <c r="A898" s="8"/>
      <c r="B898" s="17"/>
      <c r="C898" s="8"/>
      <c r="D898" s="8"/>
      <c r="E898" s="33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23.25" customHeight="1" x14ac:dyDescent="0.45">
      <c r="A899" s="8"/>
      <c r="B899" s="17"/>
      <c r="C899" s="8"/>
      <c r="D899" s="8"/>
      <c r="E899" s="33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23.25" customHeight="1" x14ac:dyDescent="0.45">
      <c r="A900" s="8"/>
      <c r="B900" s="17"/>
      <c r="C900" s="8"/>
      <c r="D900" s="8"/>
      <c r="E900" s="33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23.25" customHeight="1" x14ac:dyDescent="0.45">
      <c r="A901" s="8"/>
      <c r="B901" s="17"/>
      <c r="C901" s="8"/>
      <c r="D901" s="8"/>
      <c r="E901" s="33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23.25" customHeight="1" x14ac:dyDescent="0.45">
      <c r="A902" s="8"/>
      <c r="B902" s="17"/>
      <c r="C902" s="8"/>
      <c r="D902" s="8"/>
      <c r="E902" s="33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23.25" customHeight="1" x14ac:dyDescent="0.45">
      <c r="A903" s="8"/>
      <c r="B903" s="17"/>
      <c r="C903" s="8"/>
      <c r="D903" s="8"/>
      <c r="E903" s="33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23.25" customHeight="1" x14ac:dyDescent="0.45">
      <c r="A904" s="8"/>
      <c r="B904" s="17"/>
      <c r="C904" s="8"/>
      <c r="D904" s="8"/>
      <c r="E904" s="33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23.25" customHeight="1" x14ac:dyDescent="0.45">
      <c r="A905" s="8"/>
      <c r="B905" s="17"/>
      <c r="C905" s="8"/>
      <c r="D905" s="8"/>
      <c r="E905" s="33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23.25" customHeight="1" x14ac:dyDescent="0.45">
      <c r="A906" s="8"/>
      <c r="B906" s="17"/>
      <c r="C906" s="8"/>
      <c r="D906" s="8"/>
      <c r="E906" s="33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23.25" customHeight="1" x14ac:dyDescent="0.45">
      <c r="A907" s="8"/>
      <c r="B907" s="17"/>
      <c r="C907" s="8"/>
      <c r="D907" s="8"/>
      <c r="E907" s="33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23.25" customHeight="1" x14ac:dyDescent="0.45">
      <c r="A908" s="8"/>
      <c r="B908" s="17"/>
      <c r="C908" s="8"/>
      <c r="D908" s="8"/>
      <c r="E908" s="33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23.25" customHeight="1" x14ac:dyDescent="0.45">
      <c r="A909" s="8"/>
      <c r="B909" s="17"/>
      <c r="C909" s="8"/>
      <c r="D909" s="8"/>
      <c r="E909" s="33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23.25" customHeight="1" x14ac:dyDescent="0.45">
      <c r="A910" s="8"/>
      <c r="B910" s="17"/>
      <c r="C910" s="8"/>
      <c r="D910" s="8"/>
      <c r="E910" s="33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23.25" customHeight="1" x14ac:dyDescent="0.45">
      <c r="A911" s="8"/>
      <c r="B911" s="17"/>
      <c r="C911" s="8"/>
      <c r="D911" s="8"/>
      <c r="E911" s="33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23.25" customHeight="1" x14ac:dyDescent="0.45">
      <c r="A912" s="8"/>
      <c r="B912" s="17"/>
      <c r="C912" s="8"/>
      <c r="D912" s="8"/>
      <c r="E912" s="33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23.25" customHeight="1" x14ac:dyDescent="0.45">
      <c r="A913" s="8"/>
      <c r="B913" s="17"/>
      <c r="C913" s="8"/>
      <c r="D913" s="8"/>
      <c r="E913" s="33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23.25" customHeight="1" x14ac:dyDescent="0.45">
      <c r="A914" s="8"/>
      <c r="B914" s="17"/>
      <c r="C914" s="8"/>
      <c r="D914" s="8"/>
      <c r="E914" s="33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23.25" customHeight="1" x14ac:dyDescent="0.45">
      <c r="A915" s="8"/>
      <c r="B915" s="17"/>
      <c r="C915" s="8"/>
      <c r="D915" s="8"/>
      <c r="E915" s="33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23.25" customHeight="1" x14ac:dyDescent="0.45">
      <c r="A916" s="8"/>
      <c r="B916" s="17"/>
      <c r="C916" s="8"/>
      <c r="D916" s="8"/>
      <c r="E916" s="33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23.25" customHeight="1" x14ac:dyDescent="0.45">
      <c r="A917" s="8"/>
      <c r="B917" s="17"/>
      <c r="C917" s="8"/>
      <c r="D917" s="8"/>
      <c r="E917" s="33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23.25" customHeight="1" x14ac:dyDescent="0.45">
      <c r="A918" s="8"/>
      <c r="B918" s="17"/>
      <c r="C918" s="8"/>
      <c r="D918" s="8"/>
      <c r="E918" s="33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23.25" customHeight="1" x14ac:dyDescent="0.45">
      <c r="A919" s="8"/>
      <c r="B919" s="17"/>
      <c r="C919" s="8"/>
      <c r="D919" s="8"/>
      <c r="E919" s="33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23.25" customHeight="1" x14ac:dyDescent="0.45">
      <c r="A920" s="8"/>
      <c r="B920" s="17"/>
      <c r="C920" s="8"/>
      <c r="D920" s="8"/>
      <c r="E920" s="33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23.25" customHeight="1" x14ac:dyDescent="0.45">
      <c r="A921" s="8"/>
      <c r="B921" s="17"/>
      <c r="C921" s="8"/>
      <c r="D921" s="8"/>
      <c r="E921" s="33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23.25" customHeight="1" x14ac:dyDescent="0.45">
      <c r="A922" s="8"/>
      <c r="B922" s="17"/>
      <c r="C922" s="8"/>
      <c r="D922" s="8"/>
      <c r="E922" s="33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23.25" customHeight="1" x14ac:dyDescent="0.45">
      <c r="A923" s="8"/>
      <c r="B923" s="17"/>
      <c r="C923" s="8"/>
      <c r="D923" s="8"/>
      <c r="E923" s="33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23.25" customHeight="1" x14ac:dyDescent="0.45">
      <c r="A924" s="8"/>
      <c r="B924" s="17"/>
      <c r="C924" s="8"/>
      <c r="D924" s="8"/>
      <c r="E924" s="33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23.25" customHeight="1" x14ac:dyDescent="0.45">
      <c r="A925" s="8"/>
      <c r="B925" s="17"/>
      <c r="C925" s="8"/>
      <c r="D925" s="8"/>
      <c r="E925" s="33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23.25" customHeight="1" x14ac:dyDescent="0.45">
      <c r="A926" s="8"/>
      <c r="B926" s="17"/>
      <c r="C926" s="8"/>
      <c r="D926" s="8"/>
      <c r="E926" s="33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23.25" customHeight="1" x14ac:dyDescent="0.45">
      <c r="A927" s="8"/>
      <c r="B927" s="17"/>
      <c r="C927" s="8"/>
      <c r="D927" s="8"/>
      <c r="E927" s="33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23.25" customHeight="1" x14ac:dyDescent="0.45">
      <c r="A928" s="8"/>
      <c r="B928" s="17"/>
      <c r="C928" s="8"/>
      <c r="D928" s="8"/>
      <c r="E928" s="33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23.25" customHeight="1" x14ac:dyDescent="0.45">
      <c r="A929" s="8"/>
      <c r="B929" s="17"/>
      <c r="C929" s="8"/>
      <c r="D929" s="8"/>
      <c r="E929" s="33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23.25" customHeight="1" x14ac:dyDescent="0.45">
      <c r="A930" s="8"/>
      <c r="B930" s="17"/>
      <c r="C930" s="8"/>
      <c r="D930" s="8"/>
      <c r="E930" s="33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23.25" customHeight="1" x14ac:dyDescent="0.45">
      <c r="A931" s="8"/>
      <c r="B931" s="17"/>
      <c r="C931" s="8"/>
      <c r="D931" s="8"/>
      <c r="E931" s="33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23.25" customHeight="1" x14ac:dyDescent="0.45">
      <c r="A932" s="8"/>
      <c r="B932" s="17"/>
      <c r="C932" s="8"/>
      <c r="D932" s="8"/>
      <c r="E932" s="33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23.25" customHeight="1" x14ac:dyDescent="0.45">
      <c r="A933" s="8"/>
      <c r="B933" s="17"/>
      <c r="C933" s="8"/>
      <c r="D933" s="8"/>
      <c r="E933" s="33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23.25" customHeight="1" x14ac:dyDescent="0.45">
      <c r="A934" s="8"/>
      <c r="B934" s="17"/>
      <c r="C934" s="8"/>
      <c r="D934" s="8"/>
      <c r="E934" s="33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23.25" customHeight="1" x14ac:dyDescent="0.45">
      <c r="A935" s="8"/>
      <c r="B935" s="17"/>
      <c r="C935" s="8"/>
      <c r="D935" s="8"/>
      <c r="E935" s="33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23.25" customHeight="1" x14ac:dyDescent="0.45">
      <c r="A936" s="8"/>
      <c r="B936" s="17"/>
      <c r="C936" s="8"/>
      <c r="D936" s="8"/>
      <c r="E936" s="33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23.25" customHeight="1" x14ac:dyDescent="0.45">
      <c r="A937" s="8"/>
      <c r="B937" s="17"/>
      <c r="C937" s="8"/>
      <c r="D937" s="8"/>
      <c r="E937" s="33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23.25" customHeight="1" x14ac:dyDescent="0.45">
      <c r="A938" s="8"/>
      <c r="B938" s="17"/>
      <c r="C938" s="8"/>
      <c r="D938" s="8"/>
      <c r="E938" s="33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23.25" customHeight="1" x14ac:dyDescent="0.45">
      <c r="A939" s="8"/>
      <c r="B939" s="17"/>
      <c r="C939" s="8"/>
      <c r="D939" s="8"/>
      <c r="E939" s="33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23.25" customHeight="1" x14ac:dyDescent="0.45">
      <c r="A940" s="8"/>
      <c r="B940" s="17"/>
      <c r="C940" s="8"/>
      <c r="D940" s="8"/>
      <c r="E940" s="33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23.25" customHeight="1" x14ac:dyDescent="0.45">
      <c r="A941" s="8"/>
      <c r="B941" s="17"/>
      <c r="C941" s="8"/>
      <c r="D941" s="8"/>
      <c r="E941" s="33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23.25" customHeight="1" x14ac:dyDescent="0.45">
      <c r="A942" s="8"/>
      <c r="B942" s="17"/>
      <c r="C942" s="8"/>
      <c r="D942" s="8"/>
      <c r="E942" s="33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23.25" customHeight="1" x14ac:dyDescent="0.45">
      <c r="A943" s="8"/>
      <c r="B943" s="17"/>
      <c r="C943" s="8"/>
      <c r="D943" s="8"/>
      <c r="E943" s="33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23.25" customHeight="1" x14ac:dyDescent="0.45">
      <c r="A944" s="8"/>
      <c r="B944" s="17"/>
      <c r="C944" s="8"/>
      <c r="D944" s="8"/>
      <c r="E944" s="33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23.25" customHeight="1" x14ac:dyDescent="0.45">
      <c r="A945" s="8"/>
      <c r="B945" s="17"/>
      <c r="C945" s="8"/>
      <c r="D945" s="8"/>
      <c r="E945" s="33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23.25" customHeight="1" x14ac:dyDescent="0.45">
      <c r="A946" s="8"/>
      <c r="B946" s="17"/>
      <c r="C946" s="8"/>
      <c r="D946" s="8"/>
      <c r="E946" s="33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23.25" customHeight="1" x14ac:dyDescent="0.45">
      <c r="A947" s="8"/>
      <c r="B947" s="17"/>
      <c r="C947" s="8"/>
      <c r="D947" s="8"/>
      <c r="E947" s="33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23.25" customHeight="1" x14ac:dyDescent="0.45">
      <c r="A948" s="8"/>
      <c r="B948" s="17"/>
      <c r="C948" s="8"/>
      <c r="D948" s="8"/>
      <c r="E948" s="33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23.25" customHeight="1" x14ac:dyDescent="0.45">
      <c r="A949" s="8"/>
      <c r="B949" s="17"/>
      <c r="C949" s="8"/>
      <c r="D949" s="8"/>
      <c r="E949" s="33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23.25" customHeight="1" x14ac:dyDescent="0.45">
      <c r="A950" s="8"/>
      <c r="B950" s="17"/>
      <c r="C950" s="8"/>
      <c r="D950" s="8"/>
      <c r="E950" s="33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23.25" customHeight="1" x14ac:dyDescent="0.45">
      <c r="A951" s="8"/>
      <c r="B951" s="17"/>
      <c r="C951" s="8"/>
      <c r="D951" s="8"/>
      <c r="E951" s="33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23.25" customHeight="1" x14ac:dyDescent="0.45">
      <c r="A952" s="8"/>
      <c r="B952" s="17"/>
      <c r="C952" s="8"/>
      <c r="D952" s="8"/>
      <c r="E952" s="33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23.25" customHeight="1" x14ac:dyDescent="0.45">
      <c r="A953" s="8"/>
      <c r="B953" s="17"/>
      <c r="C953" s="8"/>
      <c r="D953" s="8"/>
      <c r="E953" s="33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23.25" customHeight="1" x14ac:dyDescent="0.45">
      <c r="A954" s="8"/>
      <c r="B954" s="17"/>
      <c r="C954" s="8"/>
      <c r="D954" s="8"/>
      <c r="E954" s="33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23.25" customHeight="1" x14ac:dyDescent="0.45">
      <c r="A955" s="8"/>
      <c r="B955" s="17"/>
      <c r="C955" s="8"/>
      <c r="D955" s="8"/>
      <c r="E955" s="33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23.25" customHeight="1" x14ac:dyDescent="0.45">
      <c r="A956" s="8"/>
      <c r="B956" s="17"/>
      <c r="C956" s="8"/>
      <c r="D956" s="8"/>
      <c r="E956" s="33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23.25" customHeight="1" x14ac:dyDescent="0.45">
      <c r="A957" s="8"/>
      <c r="B957" s="17"/>
      <c r="C957" s="8"/>
      <c r="D957" s="8"/>
      <c r="E957" s="33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23.25" customHeight="1" x14ac:dyDescent="0.45">
      <c r="A958" s="8"/>
      <c r="B958" s="17"/>
      <c r="C958" s="8"/>
      <c r="D958" s="8"/>
      <c r="E958" s="33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23.25" customHeight="1" x14ac:dyDescent="0.45">
      <c r="A959" s="8"/>
      <c r="B959" s="17"/>
      <c r="C959" s="8"/>
      <c r="D959" s="8"/>
      <c r="E959" s="33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23.25" customHeight="1" x14ac:dyDescent="0.45">
      <c r="A960" s="8"/>
      <c r="B960" s="17"/>
      <c r="C960" s="8"/>
      <c r="D960" s="8"/>
      <c r="E960" s="33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23.25" customHeight="1" x14ac:dyDescent="0.45">
      <c r="A961" s="8"/>
      <c r="B961" s="17"/>
      <c r="C961" s="8"/>
      <c r="D961" s="8"/>
      <c r="E961" s="33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23.25" customHeight="1" x14ac:dyDescent="0.45">
      <c r="A962" s="8"/>
      <c r="B962" s="17"/>
      <c r="C962" s="8"/>
      <c r="D962" s="8"/>
      <c r="E962" s="33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23.25" customHeight="1" x14ac:dyDescent="0.45">
      <c r="A963" s="8"/>
      <c r="B963" s="17"/>
      <c r="C963" s="8"/>
      <c r="D963" s="8"/>
      <c r="E963" s="33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23.25" customHeight="1" x14ac:dyDescent="0.45">
      <c r="A964" s="8"/>
      <c r="B964" s="17"/>
      <c r="C964" s="8"/>
      <c r="D964" s="8"/>
      <c r="E964" s="33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23.25" customHeight="1" x14ac:dyDescent="0.45">
      <c r="A965" s="8"/>
      <c r="B965" s="17"/>
      <c r="C965" s="8"/>
      <c r="D965" s="8"/>
      <c r="E965" s="33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23.25" customHeight="1" x14ac:dyDescent="0.45">
      <c r="A966" s="8"/>
      <c r="B966" s="17"/>
      <c r="C966" s="8"/>
      <c r="D966" s="8"/>
      <c r="E966" s="33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23.25" customHeight="1" x14ac:dyDescent="0.45">
      <c r="A967" s="8"/>
      <c r="B967" s="17"/>
      <c r="C967" s="8"/>
      <c r="D967" s="8"/>
      <c r="E967" s="33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23.25" customHeight="1" x14ac:dyDescent="0.45">
      <c r="A968" s="8"/>
      <c r="B968" s="17"/>
      <c r="C968" s="8"/>
      <c r="D968" s="8"/>
      <c r="E968" s="33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23.25" customHeight="1" x14ac:dyDescent="0.45">
      <c r="A969" s="8"/>
      <c r="B969" s="17"/>
      <c r="C969" s="8"/>
      <c r="D969" s="8"/>
      <c r="E969" s="33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23.25" customHeight="1" x14ac:dyDescent="0.45">
      <c r="A970" s="8"/>
      <c r="B970" s="17"/>
      <c r="C970" s="8"/>
      <c r="D970" s="8"/>
      <c r="E970" s="33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23.25" customHeight="1" x14ac:dyDescent="0.45">
      <c r="A971" s="8"/>
      <c r="B971" s="17"/>
      <c r="C971" s="8"/>
      <c r="D971" s="8"/>
      <c r="E971" s="33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23.25" customHeight="1" x14ac:dyDescent="0.45">
      <c r="A972" s="8"/>
      <c r="B972" s="17"/>
      <c r="C972" s="8"/>
      <c r="D972" s="8"/>
      <c r="E972" s="33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23.25" customHeight="1" x14ac:dyDescent="0.45">
      <c r="A973" s="8"/>
      <c r="B973" s="17"/>
      <c r="C973" s="8"/>
      <c r="D973" s="8"/>
      <c r="E973" s="33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23.25" customHeight="1" x14ac:dyDescent="0.45">
      <c r="A974" s="8"/>
      <c r="B974" s="17"/>
      <c r="C974" s="8"/>
      <c r="D974" s="8"/>
      <c r="E974" s="33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23.25" customHeight="1" x14ac:dyDescent="0.45">
      <c r="A975" s="8"/>
      <c r="B975" s="17"/>
      <c r="C975" s="8"/>
      <c r="D975" s="8"/>
      <c r="E975" s="33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23.25" customHeight="1" x14ac:dyDescent="0.45">
      <c r="A976" s="8"/>
      <c r="B976" s="17"/>
      <c r="C976" s="8"/>
      <c r="D976" s="8"/>
      <c r="E976" s="33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23.25" customHeight="1" x14ac:dyDescent="0.45">
      <c r="A977" s="8"/>
      <c r="B977" s="17"/>
      <c r="C977" s="8"/>
      <c r="D977" s="8"/>
      <c r="E977" s="33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23.25" customHeight="1" x14ac:dyDescent="0.45">
      <c r="A978" s="8"/>
      <c r="B978" s="17"/>
      <c r="C978" s="8"/>
      <c r="D978" s="8"/>
      <c r="E978" s="33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23.25" customHeight="1" x14ac:dyDescent="0.45">
      <c r="A979" s="8"/>
      <c r="B979" s="17"/>
      <c r="C979" s="8"/>
      <c r="D979" s="8"/>
      <c r="E979" s="33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23.25" customHeight="1" x14ac:dyDescent="0.45">
      <c r="A980" s="8"/>
      <c r="B980" s="17"/>
      <c r="C980" s="8"/>
      <c r="D980" s="8"/>
      <c r="E980" s="33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23.25" customHeight="1" x14ac:dyDescent="0.45">
      <c r="A981" s="8"/>
      <c r="B981" s="17"/>
      <c r="C981" s="8"/>
      <c r="D981" s="8"/>
      <c r="E981" s="33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23.25" customHeight="1" x14ac:dyDescent="0.45">
      <c r="A982" s="8"/>
      <c r="B982" s="17"/>
      <c r="C982" s="8"/>
      <c r="D982" s="8"/>
      <c r="E982" s="33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23.25" customHeight="1" x14ac:dyDescent="0.45">
      <c r="A983" s="8"/>
      <c r="B983" s="17"/>
      <c r="C983" s="8"/>
      <c r="D983" s="8"/>
      <c r="E983" s="33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23.25" customHeight="1" x14ac:dyDescent="0.45">
      <c r="A984" s="8"/>
      <c r="B984" s="17"/>
      <c r="C984" s="8"/>
      <c r="D984" s="8"/>
      <c r="E984" s="33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23.25" customHeight="1" x14ac:dyDescent="0.45">
      <c r="A985" s="8"/>
      <c r="B985" s="17"/>
      <c r="C985" s="8"/>
      <c r="D985" s="8"/>
      <c r="E985" s="33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23.25" customHeight="1" x14ac:dyDescent="0.45">
      <c r="A986" s="8"/>
      <c r="B986" s="17"/>
      <c r="C986" s="8"/>
      <c r="D986" s="8"/>
      <c r="E986" s="33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23.25" customHeight="1" x14ac:dyDescent="0.45">
      <c r="A987" s="8"/>
      <c r="B987" s="17"/>
      <c r="C987" s="8"/>
      <c r="D987" s="8"/>
      <c r="E987" s="33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23.25" customHeight="1" x14ac:dyDescent="0.45">
      <c r="A988" s="8"/>
      <c r="B988" s="17"/>
      <c r="C988" s="8"/>
      <c r="D988" s="8"/>
      <c r="E988" s="33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23.25" customHeight="1" x14ac:dyDescent="0.45">
      <c r="A989" s="8"/>
      <c r="B989" s="17"/>
      <c r="C989" s="8"/>
      <c r="D989" s="8"/>
      <c r="E989" s="33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23.25" customHeight="1" x14ac:dyDescent="0.45">
      <c r="A990" s="8"/>
      <c r="B990" s="17"/>
      <c r="C990" s="8"/>
      <c r="D990" s="8"/>
      <c r="E990" s="33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23.25" customHeight="1" x14ac:dyDescent="0.45">
      <c r="A991" s="8"/>
      <c r="B991" s="17"/>
      <c r="C991" s="8"/>
      <c r="D991" s="8"/>
      <c r="E991" s="33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23.25" customHeight="1" x14ac:dyDescent="0.45">
      <c r="A992" s="8"/>
      <c r="B992" s="17"/>
      <c r="C992" s="8"/>
      <c r="D992" s="8"/>
      <c r="E992" s="33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23.25" customHeight="1" x14ac:dyDescent="0.45">
      <c r="A993" s="8"/>
      <c r="B993" s="17"/>
      <c r="C993" s="8"/>
      <c r="D993" s="8"/>
      <c r="E993" s="33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23.25" customHeight="1" x14ac:dyDescent="0.45">
      <c r="A994" s="8"/>
      <c r="B994" s="17"/>
      <c r="C994" s="8"/>
      <c r="D994" s="8"/>
      <c r="E994" s="33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23.25" customHeight="1" x14ac:dyDescent="0.45">
      <c r="A995" s="8"/>
      <c r="B995" s="17"/>
      <c r="C995" s="8"/>
      <c r="D995" s="8"/>
      <c r="E995" s="33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23.25" customHeight="1" x14ac:dyDescent="0.45">
      <c r="A996" s="8"/>
      <c r="B996" s="17"/>
      <c r="C996" s="8"/>
      <c r="D996" s="8"/>
      <c r="E996" s="33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23.25" customHeight="1" x14ac:dyDescent="0.45">
      <c r="A997" s="8"/>
      <c r="B997" s="17"/>
      <c r="C997" s="8"/>
      <c r="D997" s="8"/>
      <c r="E997" s="33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23.25" customHeight="1" x14ac:dyDescent="0.45">
      <c r="A998" s="8"/>
      <c r="B998" s="17"/>
      <c r="C998" s="8"/>
      <c r="D998" s="8"/>
      <c r="E998" s="33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23.25" customHeight="1" x14ac:dyDescent="0.45">
      <c r="A999" s="8"/>
      <c r="B999" s="17"/>
      <c r="C999" s="8"/>
      <c r="D999" s="8"/>
      <c r="E999" s="33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23.25" customHeight="1" x14ac:dyDescent="0.45">
      <c r="A1000" s="8"/>
      <c r="B1000" s="17"/>
      <c r="C1000" s="8"/>
      <c r="D1000" s="8"/>
      <c r="E1000" s="33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scenarios current="0" show="0" sqref="B11">
    <scenario name="Rent 10000" locked="1" count="1" user="Harsha Gudekar" comment="Created by Harsha Gudekar on 11-08-2025">
      <inputCells r="B6" val="10000" numFmtId="165"/>
    </scenario>
    <scenario name="Rent 5000" locked="1" count="1" user="Harsha Gudekar" comment="Created by Harsha Gudekar on 11-08-2025">
      <inputCells r="B6" val="5000" numFmtId="165"/>
    </scenario>
    <scenario name="Rent 3000" locked="1" count="1" user="Harsha Gudekar" comment="Created by Harsha Gudekar on 11-08-2025">
      <inputCells r="B6" val="3000" numFmtId="165"/>
    </scenario>
    <scenario name="1000" locked="1" count="1" user="Harsha Gudekar" comment="Created by Harsha Gudekar on 11-08-2025">
      <inputCells r="B6" val="1000" numFmtId="165"/>
    </scenario>
    <scenario name="SCi-1" locked="1" count="1" user="Harsha Gudekar" comment="Created by Harsha Gudekar on 11-08-2025">
      <inputCells r="B9" val="60000"/>
    </scenario>
    <scenario name="SCI2" locked="1" count="1" user="Harsha Gudekar" comment="Created by Harsha Gudekar on 11-08-2025">
      <inputCells r="B9" val="70000"/>
    </scenario>
  </scenario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E5DC-1D19-4B4F-AC08-E114F76AB3F9}">
  <dimension ref="A1:Z1000"/>
  <sheetViews>
    <sheetView workbookViewId="0">
      <selection activeCell="C14" sqref="C14"/>
    </sheetView>
  </sheetViews>
  <sheetFormatPr defaultColWidth="14.44140625" defaultRowHeight="14.4" x14ac:dyDescent="0.3"/>
  <cols>
    <col min="1" max="1" width="38.6640625" customWidth="1"/>
    <col min="2" max="2" width="20.44140625" bestFit="1" customWidth="1"/>
    <col min="3" max="3" width="17.109375" customWidth="1"/>
    <col min="4" max="4" width="8.88671875" customWidth="1"/>
    <col min="5" max="5" width="9.88671875" bestFit="1" customWidth="1"/>
    <col min="6" max="6" width="20.33203125" bestFit="1" customWidth="1"/>
    <col min="7" max="7" width="17.109375" customWidth="1"/>
    <col min="8" max="16" width="12.6640625" customWidth="1"/>
    <col min="17" max="26" width="8.6640625" customWidth="1"/>
  </cols>
  <sheetData>
    <row r="1" spans="1:26" ht="23.25" customHeight="1" thickBot="1" x14ac:dyDescent="0.5">
      <c r="A1" s="18" t="s">
        <v>81</v>
      </c>
      <c r="B1" s="19">
        <v>1000000</v>
      </c>
      <c r="C1" s="8"/>
      <c r="D1" s="8"/>
      <c r="E1" s="8" t="s">
        <v>106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3.25" customHeight="1" x14ac:dyDescent="0.45">
      <c r="A2" s="18" t="s">
        <v>90</v>
      </c>
      <c r="B2" s="20">
        <v>0.08</v>
      </c>
      <c r="C2" s="8"/>
      <c r="D2" s="8"/>
      <c r="E2" s="25" t="s">
        <v>104</v>
      </c>
      <c r="F2" s="26" t="s">
        <v>105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3.25" customHeight="1" x14ac:dyDescent="0.45">
      <c r="A3" s="18" t="s">
        <v>91</v>
      </c>
      <c r="B3" s="21">
        <v>30</v>
      </c>
      <c r="C3" s="8"/>
      <c r="D3" s="8"/>
      <c r="E3" s="27"/>
      <c r="F3" s="28">
        <f>B4</f>
        <v>36888.32383968668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3.25" customHeight="1" x14ac:dyDescent="0.45">
      <c r="A4" s="18" t="s">
        <v>92</v>
      </c>
      <c r="B4" s="22">
        <f>PMT(B2/12,B3,-B1)</f>
        <v>36888.32383968668</v>
      </c>
      <c r="C4" s="8"/>
      <c r="D4" s="8"/>
      <c r="E4" s="27">
        <v>35</v>
      </c>
      <c r="F4" s="2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3.25" customHeight="1" x14ac:dyDescent="0.45">
      <c r="A5" s="8"/>
      <c r="B5" s="8"/>
      <c r="C5" s="8"/>
      <c r="D5" s="8"/>
      <c r="E5" s="27">
        <v>25</v>
      </c>
      <c r="F5" s="29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3.25" customHeight="1" x14ac:dyDescent="0.45">
      <c r="A6" s="8"/>
      <c r="B6" s="8"/>
      <c r="C6" s="8"/>
      <c r="D6" s="8"/>
      <c r="E6" s="27">
        <v>20</v>
      </c>
      <c r="F6" s="29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3.25" customHeight="1" x14ac:dyDescent="0.45">
      <c r="A7" s="8"/>
      <c r="B7" s="8"/>
      <c r="C7" s="17"/>
      <c r="D7" s="8"/>
      <c r="E7" s="27">
        <v>15</v>
      </c>
      <c r="F7" s="29"/>
      <c r="G7" s="17"/>
      <c r="H7" s="9"/>
      <c r="I7" s="9"/>
      <c r="J7" s="9"/>
      <c r="K7" s="9"/>
      <c r="L7" s="9"/>
      <c r="M7" s="9"/>
      <c r="N7" s="9"/>
      <c r="O7" s="9"/>
      <c r="P7" s="9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3.25" customHeight="1" thickBot="1" x14ac:dyDescent="0.5">
      <c r="A8" s="8"/>
      <c r="B8" s="9"/>
      <c r="C8" s="17"/>
      <c r="D8" s="8"/>
      <c r="E8" s="30">
        <v>40</v>
      </c>
      <c r="F8" s="31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3.25" customHeight="1" x14ac:dyDescent="0.45">
      <c r="A9" s="8"/>
      <c r="B9" s="9"/>
      <c r="C9" s="1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3.25" customHeight="1" x14ac:dyDescent="0.45">
      <c r="A10" s="8"/>
      <c r="B10" s="9"/>
      <c r="C10" s="1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3.25" customHeight="1" x14ac:dyDescent="0.45">
      <c r="A11" s="8"/>
      <c r="B11" s="9"/>
      <c r="C11" s="1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3.25" customHeight="1" x14ac:dyDescent="0.45">
      <c r="A12" s="8"/>
      <c r="B12" s="9"/>
      <c r="C12" s="1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3.25" customHeight="1" x14ac:dyDescent="0.4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3.25" customHeight="1" x14ac:dyDescent="0.4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3.25" customHeight="1" x14ac:dyDescent="0.4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3.25" customHeight="1" x14ac:dyDescent="0.4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3.25" customHeight="1" x14ac:dyDescent="0.4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23.25" customHeight="1" x14ac:dyDescent="0.4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23.25" customHeight="1" x14ac:dyDescent="0.4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23.25" customHeight="1" x14ac:dyDescent="0.4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23.25" customHeight="1" x14ac:dyDescent="0.4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23.25" customHeight="1" x14ac:dyDescent="0.4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23.25" customHeight="1" x14ac:dyDescent="0.4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23.25" customHeight="1" x14ac:dyDescent="0.4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23.25" customHeight="1" x14ac:dyDescent="0.4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23.25" customHeight="1" x14ac:dyDescent="0.4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23.25" customHeight="1" x14ac:dyDescent="0.4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23.25" customHeight="1" x14ac:dyDescent="0.4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3.25" customHeight="1" x14ac:dyDescent="0.4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23.25" customHeight="1" x14ac:dyDescent="0.4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23.25" customHeight="1" x14ac:dyDescent="0.4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23.25" customHeight="1" x14ac:dyDescent="0.4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23.25" customHeight="1" x14ac:dyDescent="0.4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23.25" customHeight="1" x14ac:dyDescent="0.4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23.25" customHeight="1" x14ac:dyDescent="0.4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23.25" customHeight="1" x14ac:dyDescent="0.4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23.25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23.25" customHeight="1" x14ac:dyDescent="0.4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23.25" customHeight="1" x14ac:dyDescent="0.4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23.25" customHeight="1" x14ac:dyDescent="0.4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23.25" customHeight="1" x14ac:dyDescent="0.4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23.25" customHeight="1" x14ac:dyDescent="0.4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23.25" customHeight="1" x14ac:dyDescent="0.4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23.25" customHeight="1" x14ac:dyDescent="0.4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23.25" customHeight="1" x14ac:dyDescent="0.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23.25" customHeight="1" x14ac:dyDescent="0.4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23.25" customHeight="1" x14ac:dyDescent="0.4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23.25" customHeight="1" x14ac:dyDescent="0.4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23.25" customHeight="1" x14ac:dyDescent="0.4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23.25" customHeight="1" x14ac:dyDescent="0.4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23.25" customHeight="1" x14ac:dyDescent="0.4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23.25" customHeight="1" x14ac:dyDescent="0.4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23.25" customHeight="1" x14ac:dyDescent="0.4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23.25" customHeight="1" x14ac:dyDescent="0.4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23.25" customHeight="1" x14ac:dyDescent="0.4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23.25" customHeight="1" x14ac:dyDescent="0.4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23.25" customHeight="1" x14ac:dyDescent="0.4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23.25" customHeight="1" x14ac:dyDescent="0.4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23.25" customHeight="1" x14ac:dyDescent="0.4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23.25" customHeight="1" x14ac:dyDescent="0.4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23.25" customHeight="1" x14ac:dyDescent="0.4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23.25" customHeight="1" x14ac:dyDescent="0.4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23.25" customHeight="1" x14ac:dyDescent="0.4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23.25" customHeight="1" x14ac:dyDescent="0.4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23.25" customHeight="1" x14ac:dyDescent="0.4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23.25" customHeight="1" x14ac:dyDescent="0.4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23.25" customHeight="1" x14ac:dyDescent="0.4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23.25" customHeight="1" x14ac:dyDescent="0.4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23.25" customHeight="1" x14ac:dyDescent="0.4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23.25" customHeight="1" x14ac:dyDescent="0.4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23.25" customHeight="1" x14ac:dyDescent="0.4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23.25" customHeight="1" x14ac:dyDescent="0.4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23.25" customHeight="1" x14ac:dyDescent="0.4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23.25" customHeight="1" x14ac:dyDescent="0.4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23.25" customHeight="1" x14ac:dyDescent="0.4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23.25" customHeight="1" x14ac:dyDescent="0.4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23.25" customHeight="1" x14ac:dyDescent="0.4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23.25" customHeight="1" x14ac:dyDescent="0.4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23.25" customHeight="1" x14ac:dyDescent="0.4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23.25" customHeight="1" x14ac:dyDescent="0.4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23.25" customHeight="1" x14ac:dyDescent="0.4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23.25" customHeight="1" x14ac:dyDescent="0.4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23.25" customHeight="1" x14ac:dyDescent="0.4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23.25" customHeight="1" x14ac:dyDescent="0.4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23.25" customHeight="1" x14ac:dyDescent="0.4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23.25" customHeight="1" x14ac:dyDescent="0.4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23.25" customHeight="1" x14ac:dyDescent="0.4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23.25" customHeight="1" x14ac:dyDescent="0.4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23.25" customHeight="1" x14ac:dyDescent="0.4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23.25" customHeight="1" x14ac:dyDescent="0.4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23.25" customHeight="1" x14ac:dyDescent="0.4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23.25" customHeight="1" x14ac:dyDescent="0.4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23.25" customHeight="1" x14ac:dyDescent="0.4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23.25" customHeight="1" x14ac:dyDescent="0.4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23.25" customHeight="1" x14ac:dyDescent="0.4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23.25" customHeight="1" x14ac:dyDescent="0.4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23.25" customHeight="1" x14ac:dyDescent="0.4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23.25" customHeight="1" x14ac:dyDescent="0.4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23.25" customHeight="1" x14ac:dyDescent="0.4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23.25" customHeight="1" x14ac:dyDescent="0.4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23.25" customHeight="1" x14ac:dyDescent="0.4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23.25" customHeight="1" x14ac:dyDescent="0.4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23.25" customHeight="1" x14ac:dyDescent="0.4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23.25" customHeight="1" x14ac:dyDescent="0.4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23.25" customHeight="1" x14ac:dyDescent="0.4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23.25" customHeight="1" x14ac:dyDescent="0.4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23.25" customHeight="1" x14ac:dyDescent="0.4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23.25" customHeight="1" x14ac:dyDescent="0.4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23.25" customHeight="1" x14ac:dyDescent="0.4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23.25" customHeight="1" x14ac:dyDescent="0.4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23.25" customHeight="1" x14ac:dyDescent="0.4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23.25" customHeight="1" x14ac:dyDescent="0.4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23.25" customHeight="1" x14ac:dyDescent="0.4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23.25" customHeight="1" x14ac:dyDescent="0.4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23.25" customHeight="1" x14ac:dyDescent="0.4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23.25" customHeight="1" x14ac:dyDescent="0.4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23.25" customHeight="1" x14ac:dyDescent="0.4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23.25" customHeight="1" x14ac:dyDescent="0.4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23.25" customHeight="1" x14ac:dyDescent="0.4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23.25" customHeight="1" x14ac:dyDescent="0.4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23.25" customHeight="1" x14ac:dyDescent="0.4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23.25" customHeight="1" x14ac:dyDescent="0.4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23.25" customHeight="1" x14ac:dyDescent="0.4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23.25" customHeight="1" x14ac:dyDescent="0.4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23.25" customHeight="1" x14ac:dyDescent="0.4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23.25" customHeight="1" x14ac:dyDescent="0.4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23.25" customHeight="1" x14ac:dyDescent="0.4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23.25" customHeight="1" x14ac:dyDescent="0.4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23.25" customHeight="1" x14ac:dyDescent="0.4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23.25" customHeight="1" x14ac:dyDescent="0.4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23.25" customHeight="1" x14ac:dyDescent="0.4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23.25" customHeight="1" x14ac:dyDescent="0.4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23.25" customHeight="1" x14ac:dyDescent="0.4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23.25" customHeight="1" x14ac:dyDescent="0.4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23.25" customHeight="1" x14ac:dyDescent="0.4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23.25" customHeight="1" x14ac:dyDescent="0.4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23.25" customHeight="1" x14ac:dyDescent="0.4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23.25" customHeight="1" x14ac:dyDescent="0.4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23.25" customHeight="1" x14ac:dyDescent="0.4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23.25" customHeight="1" x14ac:dyDescent="0.4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23.25" customHeight="1" x14ac:dyDescent="0.4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23.25" customHeight="1" x14ac:dyDescent="0.4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23.25" customHeight="1" x14ac:dyDescent="0.4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23.25" customHeight="1" x14ac:dyDescent="0.4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23.25" customHeight="1" x14ac:dyDescent="0.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23.25" customHeight="1" x14ac:dyDescent="0.4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23.25" customHeight="1" x14ac:dyDescent="0.4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23.25" customHeight="1" x14ac:dyDescent="0.4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23.25" customHeight="1" x14ac:dyDescent="0.4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23.25" customHeight="1" x14ac:dyDescent="0.4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23.25" customHeight="1" x14ac:dyDescent="0.4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23.25" customHeight="1" x14ac:dyDescent="0.4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23.25" customHeight="1" x14ac:dyDescent="0.4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23.25" customHeight="1" x14ac:dyDescent="0.4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23.25" customHeight="1" x14ac:dyDescent="0.4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23.25" customHeight="1" x14ac:dyDescent="0.4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23.25" customHeight="1" x14ac:dyDescent="0.4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23.25" customHeight="1" x14ac:dyDescent="0.4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23.25" customHeight="1" x14ac:dyDescent="0.4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23.25" customHeight="1" x14ac:dyDescent="0.4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23.25" customHeight="1" x14ac:dyDescent="0.4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23.25" customHeight="1" x14ac:dyDescent="0.4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23.25" customHeight="1" x14ac:dyDescent="0.4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23.25" customHeight="1" x14ac:dyDescent="0.4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23.25" customHeight="1" x14ac:dyDescent="0.4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23.25" customHeight="1" x14ac:dyDescent="0.4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23.25" customHeight="1" x14ac:dyDescent="0.4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23.25" customHeight="1" x14ac:dyDescent="0.4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23.25" customHeight="1" x14ac:dyDescent="0.4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23.25" customHeight="1" x14ac:dyDescent="0.4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23.25" customHeight="1" x14ac:dyDescent="0.4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23.25" customHeight="1" x14ac:dyDescent="0.4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23.25" customHeight="1" x14ac:dyDescent="0.4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23.25" customHeight="1" x14ac:dyDescent="0.4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23.25" customHeight="1" x14ac:dyDescent="0.4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23.25" customHeight="1" x14ac:dyDescent="0.4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23.25" customHeight="1" x14ac:dyDescent="0.4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23.25" customHeight="1" x14ac:dyDescent="0.4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23.25" customHeight="1" x14ac:dyDescent="0.4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23.25" customHeight="1" x14ac:dyDescent="0.4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23.25" customHeight="1" x14ac:dyDescent="0.4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23.25" customHeight="1" x14ac:dyDescent="0.4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23.25" customHeight="1" x14ac:dyDescent="0.4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23.25" customHeight="1" x14ac:dyDescent="0.4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23.25" customHeight="1" x14ac:dyDescent="0.4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23.25" customHeight="1" x14ac:dyDescent="0.4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23.25" customHeight="1" x14ac:dyDescent="0.4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23.25" customHeight="1" x14ac:dyDescent="0.4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23.25" customHeight="1" x14ac:dyDescent="0.4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23.25" customHeight="1" x14ac:dyDescent="0.4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23.25" customHeight="1" x14ac:dyDescent="0.4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23.25" customHeight="1" x14ac:dyDescent="0.4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23.25" customHeight="1" x14ac:dyDescent="0.4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23.25" customHeight="1" x14ac:dyDescent="0.4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23.25" customHeight="1" x14ac:dyDescent="0.4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23.25" customHeight="1" x14ac:dyDescent="0.4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23.25" customHeight="1" x14ac:dyDescent="0.4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23.25" customHeight="1" x14ac:dyDescent="0.4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23.25" customHeight="1" x14ac:dyDescent="0.4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23.25" customHeight="1" x14ac:dyDescent="0.4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23.25" customHeight="1" x14ac:dyDescent="0.4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23.25" customHeight="1" x14ac:dyDescent="0.4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23.25" customHeight="1" x14ac:dyDescent="0.4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23.25" customHeight="1" x14ac:dyDescent="0.4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23.25" customHeight="1" x14ac:dyDescent="0.4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23.25" customHeight="1" x14ac:dyDescent="0.4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23.25" customHeight="1" x14ac:dyDescent="0.4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23.25" customHeight="1" x14ac:dyDescent="0.4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23.25" customHeight="1" x14ac:dyDescent="0.4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23.25" customHeight="1" x14ac:dyDescent="0.4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23.25" customHeight="1" x14ac:dyDescent="0.4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23.25" customHeight="1" x14ac:dyDescent="0.4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23.25" customHeight="1" x14ac:dyDescent="0.4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23.25" customHeight="1" x14ac:dyDescent="0.4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23.25" customHeight="1" x14ac:dyDescent="0.4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23.25" customHeight="1" x14ac:dyDescent="0.4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23.25" customHeight="1" x14ac:dyDescent="0.4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23.25" customHeight="1" x14ac:dyDescent="0.4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23.25" customHeight="1" x14ac:dyDescent="0.4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23.25" customHeight="1" x14ac:dyDescent="0.4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23.25" customHeight="1" x14ac:dyDescent="0.4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23.25" customHeight="1" x14ac:dyDescent="0.4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23.25" customHeight="1" x14ac:dyDescent="0.4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23.25" customHeight="1" x14ac:dyDescent="0.4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23.25" customHeight="1" x14ac:dyDescent="0.4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23.25" customHeight="1" x14ac:dyDescent="0.4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23.25" customHeight="1" x14ac:dyDescent="0.4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23.25" customHeight="1" x14ac:dyDescent="0.4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23.25" customHeight="1" x14ac:dyDescent="0.4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23.25" customHeight="1" x14ac:dyDescent="0.4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23.25" customHeight="1" x14ac:dyDescent="0.4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23.25" customHeight="1" x14ac:dyDescent="0.4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23.25" customHeight="1" x14ac:dyDescent="0.4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23.25" customHeight="1" x14ac:dyDescent="0.4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23.25" customHeight="1" x14ac:dyDescent="0.4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23.25" customHeight="1" x14ac:dyDescent="0.4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23.25" customHeight="1" x14ac:dyDescent="0.4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23.25" customHeight="1" x14ac:dyDescent="0.4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23.25" customHeight="1" x14ac:dyDescent="0.4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23.25" customHeight="1" x14ac:dyDescent="0.4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23.25" customHeight="1" x14ac:dyDescent="0.4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23.25" customHeight="1" x14ac:dyDescent="0.4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23.25" customHeight="1" x14ac:dyDescent="0.4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23.25" customHeight="1" x14ac:dyDescent="0.4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23.25" customHeight="1" x14ac:dyDescent="0.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23.25" customHeight="1" x14ac:dyDescent="0.4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23.25" customHeight="1" x14ac:dyDescent="0.4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23.25" customHeight="1" x14ac:dyDescent="0.4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23.25" customHeight="1" x14ac:dyDescent="0.4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23.25" customHeight="1" x14ac:dyDescent="0.4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23.25" customHeight="1" x14ac:dyDescent="0.4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23.25" customHeight="1" x14ac:dyDescent="0.4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23.25" customHeight="1" x14ac:dyDescent="0.4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23.25" customHeight="1" x14ac:dyDescent="0.4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23.25" customHeight="1" x14ac:dyDescent="0.4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23.25" customHeight="1" x14ac:dyDescent="0.4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23.25" customHeight="1" x14ac:dyDescent="0.4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23.25" customHeight="1" x14ac:dyDescent="0.4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23.25" customHeight="1" x14ac:dyDescent="0.4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23.25" customHeight="1" x14ac:dyDescent="0.4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23.25" customHeight="1" x14ac:dyDescent="0.4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23.25" customHeight="1" x14ac:dyDescent="0.4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23.25" customHeight="1" x14ac:dyDescent="0.4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23.25" customHeight="1" x14ac:dyDescent="0.4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23.25" customHeight="1" x14ac:dyDescent="0.4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23.25" customHeight="1" x14ac:dyDescent="0.4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23.25" customHeight="1" x14ac:dyDescent="0.4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23.25" customHeight="1" x14ac:dyDescent="0.4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23.25" customHeight="1" x14ac:dyDescent="0.4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23.25" customHeight="1" x14ac:dyDescent="0.4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23.25" customHeight="1" x14ac:dyDescent="0.4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23.25" customHeight="1" x14ac:dyDescent="0.4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23.25" customHeight="1" x14ac:dyDescent="0.4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23.25" customHeight="1" x14ac:dyDescent="0.4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23.25" customHeight="1" x14ac:dyDescent="0.4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23.25" customHeight="1" x14ac:dyDescent="0.4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23.25" customHeight="1" x14ac:dyDescent="0.4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23.25" customHeight="1" x14ac:dyDescent="0.4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23.25" customHeight="1" x14ac:dyDescent="0.4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23.25" customHeight="1" x14ac:dyDescent="0.4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23.25" customHeight="1" x14ac:dyDescent="0.4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23.25" customHeight="1" x14ac:dyDescent="0.4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23.25" customHeight="1" x14ac:dyDescent="0.4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23.25" customHeight="1" x14ac:dyDescent="0.4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23.25" customHeight="1" x14ac:dyDescent="0.4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23.25" customHeight="1" x14ac:dyDescent="0.4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23.25" customHeight="1" x14ac:dyDescent="0.4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23.25" customHeight="1" x14ac:dyDescent="0.4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23.25" customHeight="1" x14ac:dyDescent="0.4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23.25" customHeight="1" x14ac:dyDescent="0.4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23.25" customHeight="1" x14ac:dyDescent="0.4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23.25" customHeight="1" x14ac:dyDescent="0.4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23.25" customHeight="1" x14ac:dyDescent="0.4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23.25" customHeight="1" x14ac:dyDescent="0.4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23.25" customHeight="1" x14ac:dyDescent="0.4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23.25" customHeight="1" x14ac:dyDescent="0.4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23.25" customHeight="1" x14ac:dyDescent="0.4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23.25" customHeight="1" x14ac:dyDescent="0.4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23.25" customHeight="1" x14ac:dyDescent="0.4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23.25" customHeight="1" x14ac:dyDescent="0.4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23.25" customHeight="1" x14ac:dyDescent="0.4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23.25" customHeight="1" x14ac:dyDescent="0.4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23.25" customHeight="1" x14ac:dyDescent="0.4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23.25" customHeight="1" x14ac:dyDescent="0.4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23.25" customHeight="1" x14ac:dyDescent="0.4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23.25" customHeight="1" x14ac:dyDescent="0.4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23.25" customHeight="1" x14ac:dyDescent="0.4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23.25" customHeight="1" x14ac:dyDescent="0.4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23.25" customHeight="1" x14ac:dyDescent="0.4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23.25" customHeight="1" x14ac:dyDescent="0.4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23.25" customHeight="1" x14ac:dyDescent="0.4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23.25" customHeight="1" x14ac:dyDescent="0.4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23.25" customHeight="1" x14ac:dyDescent="0.4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23.25" customHeight="1" x14ac:dyDescent="0.4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23.25" customHeight="1" x14ac:dyDescent="0.4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23.25" customHeight="1" x14ac:dyDescent="0.4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23.25" customHeight="1" x14ac:dyDescent="0.4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23.25" customHeight="1" x14ac:dyDescent="0.4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23.25" customHeight="1" x14ac:dyDescent="0.4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23.25" customHeight="1" x14ac:dyDescent="0.4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23.25" customHeight="1" x14ac:dyDescent="0.4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23.25" customHeight="1" x14ac:dyDescent="0.4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23.25" customHeight="1" x14ac:dyDescent="0.4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23.25" customHeight="1" x14ac:dyDescent="0.4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23.25" customHeight="1" x14ac:dyDescent="0.4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23.25" customHeight="1" x14ac:dyDescent="0.4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23.25" customHeight="1" x14ac:dyDescent="0.4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23.25" customHeight="1" x14ac:dyDescent="0.4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23.25" customHeight="1" x14ac:dyDescent="0.4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23.25" customHeight="1" x14ac:dyDescent="0.4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23.25" customHeight="1" x14ac:dyDescent="0.4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23.25" customHeight="1" x14ac:dyDescent="0.4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23.25" customHeight="1" x14ac:dyDescent="0.4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23.25" customHeight="1" x14ac:dyDescent="0.4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23.25" customHeight="1" x14ac:dyDescent="0.4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23.25" customHeight="1" x14ac:dyDescent="0.4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23.25" customHeight="1" x14ac:dyDescent="0.4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23.25" customHeight="1" x14ac:dyDescent="0.4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23.25" customHeight="1" x14ac:dyDescent="0.4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23.25" customHeight="1" x14ac:dyDescent="0.4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23.25" customHeight="1" x14ac:dyDescent="0.4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23.25" customHeight="1" x14ac:dyDescent="0.4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23.25" customHeight="1" x14ac:dyDescent="0.4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23.25" customHeight="1" x14ac:dyDescent="0.4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23.25" customHeight="1" x14ac:dyDescent="0.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23.25" customHeight="1" x14ac:dyDescent="0.4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23.25" customHeight="1" x14ac:dyDescent="0.4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23.25" customHeight="1" x14ac:dyDescent="0.4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23.25" customHeight="1" x14ac:dyDescent="0.4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23.25" customHeight="1" x14ac:dyDescent="0.4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23.25" customHeight="1" x14ac:dyDescent="0.4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23.25" customHeight="1" x14ac:dyDescent="0.4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23.25" customHeight="1" x14ac:dyDescent="0.4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23.25" customHeight="1" x14ac:dyDescent="0.4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23.25" customHeight="1" x14ac:dyDescent="0.4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23.25" customHeight="1" x14ac:dyDescent="0.4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23.25" customHeight="1" x14ac:dyDescent="0.4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23.25" customHeight="1" x14ac:dyDescent="0.4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23.25" customHeight="1" x14ac:dyDescent="0.4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23.25" customHeight="1" x14ac:dyDescent="0.4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23.25" customHeight="1" x14ac:dyDescent="0.4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23.25" customHeight="1" x14ac:dyDescent="0.4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23.25" customHeight="1" x14ac:dyDescent="0.4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23.25" customHeight="1" x14ac:dyDescent="0.4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23.25" customHeight="1" x14ac:dyDescent="0.4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23.25" customHeight="1" x14ac:dyDescent="0.4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23.25" customHeight="1" x14ac:dyDescent="0.4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23.25" customHeight="1" x14ac:dyDescent="0.4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23.25" customHeight="1" x14ac:dyDescent="0.4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23.25" customHeight="1" x14ac:dyDescent="0.4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23.25" customHeight="1" x14ac:dyDescent="0.4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23.25" customHeight="1" x14ac:dyDescent="0.4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23.25" customHeight="1" x14ac:dyDescent="0.4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23.25" customHeight="1" x14ac:dyDescent="0.4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23.25" customHeight="1" x14ac:dyDescent="0.4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23.25" customHeight="1" x14ac:dyDescent="0.4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23.25" customHeight="1" x14ac:dyDescent="0.4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23.25" customHeight="1" x14ac:dyDescent="0.4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23.25" customHeight="1" x14ac:dyDescent="0.4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23.25" customHeight="1" x14ac:dyDescent="0.4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23.25" customHeight="1" x14ac:dyDescent="0.4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23.25" customHeight="1" x14ac:dyDescent="0.4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23.25" customHeight="1" x14ac:dyDescent="0.4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23.25" customHeight="1" x14ac:dyDescent="0.4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23.25" customHeight="1" x14ac:dyDescent="0.4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23.25" customHeight="1" x14ac:dyDescent="0.4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23.25" customHeight="1" x14ac:dyDescent="0.4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23.25" customHeight="1" x14ac:dyDescent="0.4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23.25" customHeight="1" x14ac:dyDescent="0.4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23.25" customHeight="1" x14ac:dyDescent="0.4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23.25" customHeight="1" x14ac:dyDescent="0.4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23.25" customHeight="1" x14ac:dyDescent="0.4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23.25" customHeight="1" x14ac:dyDescent="0.4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23.25" customHeight="1" x14ac:dyDescent="0.4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23.25" customHeight="1" x14ac:dyDescent="0.4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23.25" customHeight="1" x14ac:dyDescent="0.4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23.25" customHeight="1" x14ac:dyDescent="0.4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23.25" customHeight="1" x14ac:dyDescent="0.4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23.25" customHeight="1" x14ac:dyDescent="0.4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23.25" customHeight="1" x14ac:dyDescent="0.4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23.25" customHeight="1" x14ac:dyDescent="0.4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23.25" customHeight="1" x14ac:dyDescent="0.4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23.25" customHeight="1" x14ac:dyDescent="0.4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23.25" customHeight="1" x14ac:dyDescent="0.4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23.25" customHeight="1" x14ac:dyDescent="0.4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23.25" customHeight="1" x14ac:dyDescent="0.4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23.25" customHeight="1" x14ac:dyDescent="0.4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23.25" customHeight="1" x14ac:dyDescent="0.4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23.25" customHeight="1" x14ac:dyDescent="0.4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23.25" customHeight="1" x14ac:dyDescent="0.4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23.25" customHeight="1" x14ac:dyDescent="0.4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23.25" customHeight="1" x14ac:dyDescent="0.4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23.25" customHeight="1" x14ac:dyDescent="0.4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23.25" customHeight="1" x14ac:dyDescent="0.4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23.25" customHeight="1" x14ac:dyDescent="0.4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23.25" customHeight="1" x14ac:dyDescent="0.4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23.25" customHeight="1" x14ac:dyDescent="0.4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23.25" customHeight="1" x14ac:dyDescent="0.4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23.25" customHeight="1" x14ac:dyDescent="0.4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23.25" customHeight="1" x14ac:dyDescent="0.4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23.25" customHeight="1" x14ac:dyDescent="0.4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23.25" customHeight="1" x14ac:dyDescent="0.4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23.25" customHeight="1" x14ac:dyDescent="0.4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23.25" customHeight="1" x14ac:dyDescent="0.4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23.25" customHeight="1" x14ac:dyDescent="0.4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23.25" customHeight="1" x14ac:dyDescent="0.4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23.25" customHeight="1" x14ac:dyDescent="0.4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23.25" customHeight="1" x14ac:dyDescent="0.4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23.25" customHeight="1" x14ac:dyDescent="0.4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23.25" customHeight="1" x14ac:dyDescent="0.4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23.25" customHeight="1" x14ac:dyDescent="0.4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23.25" customHeight="1" x14ac:dyDescent="0.4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23.25" customHeight="1" x14ac:dyDescent="0.4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23.25" customHeight="1" x14ac:dyDescent="0.4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23.25" customHeight="1" x14ac:dyDescent="0.4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23.25" customHeight="1" x14ac:dyDescent="0.4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23.25" customHeight="1" x14ac:dyDescent="0.4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23.25" customHeight="1" x14ac:dyDescent="0.4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23.25" customHeight="1" x14ac:dyDescent="0.4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23.25" customHeight="1" x14ac:dyDescent="0.4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23.25" customHeight="1" x14ac:dyDescent="0.4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23.25" customHeight="1" x14ac:dyDescent="0.4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23.25" customHeight="1" x14ac:dyDescent="0.4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23.25" customHeight="1" x14ac:dyDescent="0.4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23.25" customHeight="1" x14ac:dyDescent="0.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23.25" customHeight="1" x14ac:dyDescent="0.4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23.25" customHeight="1" x14ac:dyDescent="0.4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23.25" customHeight="1" x14ac:dyDescent="0.4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23.25" customHeight="1" x14ac:dyDescent="0.4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23.25" customHeight="1" x14ac:dyDescent="0.4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23.25" customHeight="1" x14ac:dyDescent="0.4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23.25" customHeight="1" x14ac:dyDescent="0.4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23.25" customHeight="1" x14ac:dyDescent="0.4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23.25" customHeight="1" x14ac:dyDescent="0.4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23.25" customHeight="1" x14ac:dyDescent="0.4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23.25" customHeight="1" x14ac:dyDescent="0.4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23.25" customHeight="1" x14ac:dyDescent="0.4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23.25" customHeight="1" x14ac:dyDescent="0.4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23.25" customHeight="1" x14ac:dyDescent="0.4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23.25" customHeight="1" x14ac:dyDescent="0.4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23.25" customHeight="1" x14ac:dyDescent="0.4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23.25" customHeight="1" x14ac:dyDescent="0.4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23.25" customHeight="1" x14ac:dyDescent="0.4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23.25" customHeight="1" x14ac:dyDescent="0.4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23.25" customHeight="1" x14ac:dyDescent="0.4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23.25" customHeight="1" x14ac:dyDescent="0.4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23.25" customHeight="1" x14ac:dyDescent="0.4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23.25" customHeight="1" x14ac:dyDescent="0.4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23.25" customHeight="1" x14ac:dyDescent="0.4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23.25" customHeight="1" x14ac:dyDescent="0.4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23.25" customHeight="1" x14ac:dyDescent="0.4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23.25" customHeight="1" x14ac:dyDescent="0.4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23.25" customHeight="1" x14ac:dyDescent="0.4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23.25" customHeight="1" x14ac:dyDescent="0.4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23.25" customHeight="1" x14ac:dyDescent="0.4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23.25" customHeight="1" x14ac:dyDescent="0.4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23.25" customHeight="1" x14ac:dyDescent="0.4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23.25" customHeight="1" x14ac:dyDescent="0.4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23.25" customHeight="1" x14ac:dyDescent="0.4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23.25" customHeight="1" x14ac:dyDescent="0.4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23.25" customHeight="1" x14ac:dyDescent="0.4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23.25" customHeight="1" x14ac:dyDescent="0.4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23.25" customHeight="1" x14ac:dyDescent="0.4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23.25" customHeight="1" x14ac:dyDescent="0.4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23.25" customHeight="1" x14ac:dyDescent="0.4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23.25" customHeight="1" x14ac:dyDescent="0.4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23.25" customHeight="1" x14ac:dyDescent="0.4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23.25" customHeight="1" x14ac:dyDescent="0.4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23.25" customHeight="1" x14ac:dyDescent="0.4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23.25" customHeight="1" x14ac:dyDescent="0.4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23.25" customHeight="1" x14ac:dyDescent="0.4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23.25" customHeight="1" x14ac:dyDescent="0.4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23.25" customHeight="1" x14ac:dyDescent="0.4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23.25" customHeight="1" x14ac:dyDescent="0.4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23.25" customHeight="1" x14ac:dyDescent="0.4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23.25" customHeight="1" x14ac:dyDescent="0.4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23.25" customHeight="1" x14ac:dyDescent="0.4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23.25" customHeight="1" x14ac:dyDescent="0.4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23.25" customHeight="1" x14ac:dyDescent="0.4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23.25" customHeight="1" x14ac:dyDescent="0.4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23.25" customHeight="1" x14ac:dyDescent="0.4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23.25" customHeight="1" x14ac:dyDescent="0.4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23.25" customHeight="1" x14ac:dyDescent="0.4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23.25" customHeight="1" x14ac:dyDescent="0.4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23.25" customHeight="1" x14ac:dyDescent="0.4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23.25" customHeight="1" x14ac:dyDescent="0.4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23.25" customHeight="1" x14ac:dyDescent="0.4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23.25" customHeight="1" x14ac:dyDescent="0.4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23.25" customHeight="1" x14ac:dyDescent="0.4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23.25" customHeight="1" x14ac:dyDescent="0.4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23.25" customHeight="1" x14ac:dyDescent="0.4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23.25" customHeight="1" x14ac:dyDescent="0.4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23.25" customHeight="1" x14ac:dyDescent="0.4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23.25" customHeight="1" x14ac:dyDescent="0.4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23.25" customHeight="1" x14ac:dyDescent="0.4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23.25" customHeight="1" x14ac:dyDescent="0.4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23.25" customHeight="1" x14ac:dyDescent="0.4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23.25" customHeight="1" x14ac:dyDescent="0.4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23.25" customHeight="1" x14ac:dyDescent="0.4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23.25" customHeight="1" x14ac:dyDescent="0.4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23.25" customHeight="1" x14ac:dyDescent="0.4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23.25" customHeight="1" x14ac:dyDescent="0.4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23.25" customHeight="1" x14ac:dyDescent="0.4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23.25" customHeight="1" x14ac:dyDescent="0.4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23.25" customHeight="1" x14ac:dyDescent="0.4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23.25" customHeight="1" x14ac:dyDescent="0.4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23.25" customHeight="1" x14ac:dyDescent="0.4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23.25" customHeight="1" x14ac:dyDescent="0.4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23.25" customHeight="1" x14ac:dyDescent="0.4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23.25" customHeight="1" x14ac:dyDescent="0.4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23.25" customHeight="1" x14ac:dyDescent="0.4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23.25" customHeight="1" x14ac:dyDescent="0.4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23.25" customHeight="1" x14ac:dyDescent="0.4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23.25" customHeight="1" x14ac:dyDescent="0.4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23.25" customHeight="1" x14ac:dyDescent="0.4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23.25" customHeight="1" x14ac:dyDescent="0.4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23.25" customHeight="1" x14ac:dyDescent="0.4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23.25" customHeight="1" x14ac:dyDescent="0.4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23.25" customHeight="1" x14ac:dyDescent="0.4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23.25" customHeight="1" x14ac:dyDescent="0.4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23.25" customHeight="1" x14ac:dyDescent="0.4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23.25" customHeight="1" x14ac:dyDescent="0.4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23.25" customHeight="1" x14ac:dyDescent="0.4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23.25" customHeight="1" x14ac:dyDescent="0.4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23.25" customHeight="1" x14ac:dyDescent="0.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23.25" customHeight="1" x14ac:dyDescent="0.4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23.25" customHeight="1" x14ac:dyDescent="0.4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23.25" customHeight="1" x14ac:dyDescent="0.4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23.25" customHeight="1" x14ac:dyDescent="0.4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23.25" customHeight="1" x14ac:dyDescent="0.4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23.25" customHeight="1" x14ac:dyDescent="0.4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23.25" customHeight="1" x14ac:dyDescent="0.4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23.25" customHeight="1" x14ac:dyDescent="0.4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23.25" customHeight="1" x14ac:dyDescent="0.4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23.25" customHeight="1" x14ac:dyDescent="0.4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23.25" customHeight="1" x14ac:dyDescent="0.4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23.25" customHeight="1" x14ac:dyDescent="0.4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23.25" customHeight="1" x14ac:dyDescent="0.4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23.25" customHeight="1" x14ac:dyDescent="0.4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23.25" customHeight="1" x14ac:dyDescent="0.4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23.25" customHeight="1" x14ac:dyDescent="0.4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23.25" customHeight="1" x14ac:dyDescent="0.4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23.25" customHeight="1" x14ac:dyDescent="0.4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23.25" customHeight="1" x14ac:dyDescent="0.4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23.25" customHeight="1" x14ac:dyDescent="0.4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23.25" customHeight="1" x14ac:dyDescent="0.4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23.25" customHeight="1" x14ac:dyDescent="0.4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23.25" customHeight="1" x14ac:dyDescent="0.4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23.25" customHeight="1" x14ac:dyDescent="0.4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23.25" customHeight="1" x14ac:dyDescent="0.4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23.25" customHeight="1" x14ac:dyDescent="0.4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23.25" customHeight="1" x14ac:dyDescent="0.4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23.25" customHeight="1" x14ac:dyDescent="0.4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23.25" customHeight="1" x14ac:dyDescent="0.4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23.25" customHeight="1" x14ac:dyDescent="0.4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23.25" customHeight="1" x14ac:dyDescent="0.4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23.25" customHeight="1" x14ac:dyDescent="0.4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23.25" customHeight="1" x14ac:dyDescent="0.4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23.25" customHeight="1" x14ac:dyDescent="0.4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23.25" customHeight="1" x14ac:dyDescent="0.4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23.25" customHeight="1" x14ac:dyDescent="0.4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23.25" customHeight="1" x14ac:dyDescent="0.4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23.25" customHeight="1" x14ac:dyDescent="0.4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23.25" customHeight="1" x14ac:dyDescent="0.4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23.25" customHeight="1" x14ac:dyDescent="0.4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23.25" customHeight="1" x14ac:dyDescent="0.4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23.25" customHeight="1" x14ac:dyDescent="0.4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23.25" customHeight="1" x14ac:dyDescent="0.4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23.25" customHeight="1" x14ac:dyDescent="0.4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23.25" customHeight="1" x14ac:dyDescent="0.4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23.25" customHeight="1" x14ac:dyDescent="0.4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23.25" customHeight="1" x14ac:dyDescent="0.4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23.25" customHeight="1" x14ac:dyDescent="0.4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23.25" customHeight="1" x14ac:dyDescent="0.4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23.25" customHeight="1" x14ac:dyDescent="0.4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23.25" customHeight="1" x14ac:dyDescent="0.4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23.25" customHeight="1" x14ac:dyDescent="0.4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23.25" customHeight="1" x14ac:dyDescent="0.4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23.25" customHeight="1" x14ac:dyDescent="0.4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23.25" customHeight="1" x14ac:dyDescent="0.4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23.25" customHeight="1" x14ac:dyDescent="0.4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23.25" customHeight="1" x14ac:dyDescent="0.4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23.25" customHeight="1" x14ac:dyDescent="0.4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23.25" customHeight="1" x14ac:dyDescent="0.4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23.25" customHeight="1" x14ac:dyDescent="0.4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23.25" customHeight="1" x14ac:dyDescent="0.4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23.25" customHeight="1" x14ac:dyDescent="0.4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23.25" customHeight="1" x14ac:dyDescent="0.4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23.25" customHeight="1" x14ac:dyDescent="0.4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23.25" customHeight="1" x14ac:dyDescent="0.4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23.25" customHeight="1" x14ac:dyDescent="0.4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23.25" customHeight="1" x14ac:dyDescent="0.4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23.25" customHeight="1" x14ac:dyDescent="0.4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23.25" customHeight="1" x14ac:dyDescent="0.4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23.25" customHeight="1" x14ac:dyDescent="0.4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23.25" customHeight="1" x14ac:dyDescent="0.4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23.25" customHeight="1" x14ac:dyDescent="0.4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23.25" customHeight="1" x14ac:dyDescent="0.4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23.25" customHeight="1" x14ac:dyDescent="0.4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23.25" customHeight="1" x14ac:dyDescent="0.4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23.25" customHeight="1" x14ac:dyDescent="0.4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23.25" customHeight="1" x14ac:dyDescent="0.4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23.25" customHeight="1" x14ac:dyDescent="0.4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23.25" customHeight="1" x14ac:dyDescent="0.4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23.25" customHeight="1" x14ac:dyDescent="0.4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23.25" customHeight="1" x14ac:dyDescent="0.4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23.25" customHeight="1" x14ac:dyDescent="0.4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23.25" customHeight="1" x14ac:dyDescent="0.4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23.25" customHeight="1" x14ac:dyDescent="0.4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23.25" customHeight="1" x14ac:dyDescent="0.4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23.25" customHeight="1" x14ac:dyDescent="0.4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23.25" customHeight="1" x14ac:dyDescent="0.4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23.25" customHeight="1" x14ac:dyDescent="0.4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23.25" customHeight="1" x14ac:dyDescent="0.4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23.25" customHeight="1" x14ac:dyDescent="0.4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23.25" customHeight="1" x14ac:dyDescent="0.4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23.25" customHeight="1" x14ac:dyDescent="0.4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23.25" customHeight="1" x14ac:dyDescent="0.4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23.25" customHeight="1" x14ac:dyDescent="0.4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23.25" customHeight="1" x14ac:dyDescent="0.4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23.25" customHeight="1" x14ac:dyDescent="0.4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23.25" customHeight="1" x14ac:dyDescent="0.4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23.25" customHeight="1" x14ac:dyDescent="0.4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23.25" customHeight="1" x14ac:dyDescent="0.4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23.25" customHeight="1" x14ac:dyDescent="0.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23.25" customHeight="1" x14ac:dyDescent="0.4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23.25" customHeight="1" x14ac:dyDescent="0.4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23.25" customHeight="1" x14ac:dyDescent="0.4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23.25" customHeight="1" x14ac:dyDescent="0.4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23.25" customHeight="1" x14ac:dyDescent="0.4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23.25" customHeight="1" x14ac:dyDescent="0.4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23.25" customHeight="1" x14ac:dyDescent="0.4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23.25" customHeight="1" x14ac:dyDescent="0.4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23.25" customHeight="1" x14ac:dyDescent="0.4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23.25" customHeight="1" x14ac:dyDescent="0.4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23.25" customHeight="1" x14ac:dyDescent="0.4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23.25" customHeight="1" x14ac:dyDescent="0.4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23.25" customHeight="1" x14ac:dyDescent="0.4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23.25" customHeight="1" x14ac:dyDescent="0.4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23.25" customHeight="1" x14ac:dyDescent="0.4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23.25" customHeight="1" x14ac:dyDescent="0.4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23.25" customHeight="1" x14ac:dyDescent="0.4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23.25" customHeight="1" x14ac:dyDescent="0.4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23.25" customHeight="1" x14ac:dyDescent="0.4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23.25" customHeight="1" x14ac:dyDescent="0.4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23.25" customHeight="1" x14ac:dyDescent="0.4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23.25" customHeight="1" x14ac:dyDescent="0.4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23.25" customHeight="1" x14ac:dyDescent="0.4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23.25" customHeight="1" x14ac:dyDescent="0.4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23.25" customHeight="1" x14ac:dyDescent="0.4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23.25" customHeight="1" x14ac:dyDescent="0.4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23.25" customHeight="1" x14ac:dyDescent="0.4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23.25" customHeight="1" x14ac:dyDescent="0.4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23.25" customHeight="1" x14ac:dyDescent="0.4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23.25" customHeight="1" x14ac:dyDescent="0.4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23.25" customHeight="1" x14ac:dyDescent="0.4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23.25" customHeight="1" x14ac:dyDescent="0.4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23.25" customHeight="1" x14ac:dyDescent="0.4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23.25" customHeight="1" x14ac:dyDescent="0.4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23.25" customHeight="1" x14ac:dyDescent="0.4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23.25" customHeight="1" x14ac:dyDescent="0.4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23.25" customHeight="1" x14ac:dyDescent="0.4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23.25" customHeight="1" x14ac:dyDescent="0.4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23.25" customHeight="1" x14ac:dyDescent="0.4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23.25" customHeight="1" x14ac:dyDescent="0.4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23.25" customHeight="1" x14ac:dyDescent="0.4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23.25" customHeight="1" x14ac:dyDescent="0.4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23.25" customHeight="1" x14ac:dyDescent="0.4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23.25" customHeight="1" x14ac:dyDescent="0.4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23.25" customHeight="1" x14ac:dyDescent="0.4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23.25" customHeight="1" x14ac:dyDescent="0.4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23.25" customHeight="1" x14ac:dyDescent="0.4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23.25" customHeight="1" x14ac:dyDescent="0.4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23.25" customHeight="1" x14ac:dyDescent="0.4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23.25" customHeight="1" x14ac:dyDescent="0.4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23.25" customHeight="1" x14ac:dyDescent="0.4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23.25" customHeight="1" x14ac:dyDescent="0.4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23.25" customHeight="1" x14ac:dyDescent="0.4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23.25" customHeight="1" x14ac:dyDescent="0.4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23.25" customHeight="1" x14ac:dyDescent="0.4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23.25" customHeight="1" x14ac:dyDescent="0.4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23.25" customHeight="1" x14ac:dyDescent="0.4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23.25" customHeight="1" x14ac:dyDescent="0.4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23.25" customHeight="1" x14ac:dyDescent="0.4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23.25" customHeight="1" x14ac:dyDescent="0.4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23.25" customHeight="1" x14ac:dyDescent="0.4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23.25" customHeight="1" x14ac:dyDescent="0.4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23.25" customHeight="1" x14ac:dyDescent="0.4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23.25" customHeight="1" x14ac:dyDescent="0.4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23.25" customHeight="1" x14ac:dyDescent="0.4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23.25" customHeight="1" x14ac:dyDescent="0.4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23.25" customHeight="1" x14ac:dyDescent="0.4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23.25" customHeight="1" x14ac:dyDescent="0.4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23.25" customHeight="1" x14ac:dyDescent="0.4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23.25" customHeight="1" x14ac:dyDescent="0.4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23.25" customHeight="1" x14ac:dyDescent="0.4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23.25" customHeight="1" x14ac:dyDescent="0.4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23.25" customHeight="1" x14ac:dyDescent="0.4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23.25" customHeight="1" x14ac:dyDescent="0.4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23.25" customHeight="1" x14ac:dyDescent="0.4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23.25" customHeight="1" x14ac:dyDescent="0.4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23.25" customHeight="1" x14ac:dyDescent="0.4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23.25" customHeight="1" x14ac:dyDescent="0.4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23.25" customHeight="1" x14ac:dyDescent="0.4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23.25" customHeight="1" x14ac:dyDescent="0.4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23.25" customHeight="1" x14ac:dyDescent="0.4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23.25" customHeight="1" x14ac:dyDescent="0.4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23.25" customHeight="1" x14ac:dyDescent="0.4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23.25" customHeight="1" x14ac:dyDescent="0.4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23.25" customHeight="1" x14ac:dyDescent="0.4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23.25" customHeight="1" x14ac:dyDescent="0.4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23.25" customHeight="1" x14ac:dyDescent="0.4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23.25" customHeight="1" x14ac:dyDescent="0.4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23.25" customHeight="1" x14ac:dyDescent="0.4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23.25" customHeight="1" x14ac:dyDescent="0.4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23.25" customHeight="1" x14ac:dyDescent="0.4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23.25" customHeight="1" x14ac:dyDescent="0.4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23.25" customHeight="1" x14ac:dyDescent="0.4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23.25" customHeight="1" x14ac:dyDescent="0.4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23.25" customHeight="1" x14ac:dyDescent="0.4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23.25" customHeight="1" x14ac:dyDescent="0.4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23.25" customHeight="1" x14ac:dyDescent="0.4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23.25" customHeight="1" x14ac:dyDescent="0.4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23.25" customHeight="1" x14ac:dyDescent="0.4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23.25" customHeight="1" x14ac:dyDescent="0.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23.25" customHeight="1" x14ac:dyDescent="0.4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23.25" customHeight="1" x14ac:dyDescent="0.4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23.25" customHeight="1" x14ac:dyDescent="0.4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23.25" customHeight="1" x14ac:dyDescent="0.4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23.25" customHeight="1" x14ac:dyDescent="0.4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23.25" customHeight="1" x14ac:dyDescent="0.4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23.25" customHeight="1" x14ac:dyDescent="0.4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23.25" customHeight="1" x14ac:dyDescent="0.4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23.25" customHeight="1" x14ac:dyDescent="0.4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23.25" customHeight="1" x14ac:dyDescent="0.4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23.25" customHeight="1" x14ac:dyDescent="0.4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23.25" customHeight="1" x14ac:dyDescent="0.4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23.25" customHeight="1" x14ac:dyDescent="0.4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23.25" customHeight="1" x14ac:dyDescent="0.4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23.25" customHeight="1" x14ac:dyDescent="0.4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23.25" customHeight="1" x14ac:dyDescent="0.4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23.25" customHeight="1" x14ac:dyDescent="0.4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23.25" customHeight="1" x14ac:dyDescent="0.4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23.25" customHeight="1" x14ac:dyDescent="0.4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23.25" customHeight="1" x14ac:dyDescent="0.4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23.25" customHeight="1" x14ac:dyDescent="0.4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23.25" customHeight="1" x14ac:dyDescent="0.4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23.25" customHeight="1" x14ac:dyDescent="0.4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23.25" customHeight="1" x14ac:dyDescent="0.4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23.25" customHeight="1" x14ac:dyDescent="0.4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23.25" customHeight="1" x14ac:dyDescent="0.4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23.25" customHeight="1" x14ac:dyDescent="0.4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23.25" customHeight="1" x14ac:dyDescent="0.4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23.25" customHeight="1" x14ac:dyDescent="0.4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23.25" customHeight="1" x14ac:dyDescent="0.4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23.25" customHeight="1" x14ac:dyDescent="0.4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23.25" customHeight="1" x14ac:dyDescent="0.4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23.25" customHeight="1" x14ac:dyDescent="0.4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23.25" customHeight="1" x14ac:dyDescent="0.4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23.25" customHeight="1" x14ac:dyDescent="0.4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23.25" customHeight="1" x14ac:dyDescent="0.4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23.25" customHeight="1" x14ac:dyDescent="0.4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23.25" customHeight="1" x14ac:dyDescent="0.4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23.25" customHeight="1" x14ac:dyDescent="0.4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23.25" customHeight="1" x14ac:dyDescent="0.4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23.25" customHeight="1" x14ac:dyDescent="0.4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23.25" customHeight="1" x14ac:dyDescent="0.4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23.25" customHeight="1" x14ac:dyDescent="0.4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23.25" customHeight="1" x14ac:dyDescent="0.4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23.25" customHeight="1" x14ac:dyDescent="0.4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23.25" customHeight="1" x14ac:dyDescent="0.4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23.25" customHeight="1" x14ac:dyDescent="0.4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23.25" customHeight="1" x14ac:dyDescent="0.4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23.25" customHeight="1" x14ac:dyDescent="0.4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23.25" customHeight="1" x14ac:dyDescent="0.4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23.25" customHeight="1" x14ac:dyDescent="0.4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23.25" customHeight="1" x14ac:dyDescent="0.4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23.25" customHeight="1" x14ac:dyDescent="0.4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23.25" customHeight="1" x14ac:dyDescent="0.4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23.25" customHeight="1" x14ac:dyDescent="0.4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23.25" customHeight="1" x14ac:dyDescent="0.4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23.25" customHeight="1" x14ac:dyDescent="0.4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23.25" customHeight="1" x14ac:dyDescent="0.4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23.25" customHeight="1" x14ac:dyDescent="0.4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23.25" customHeight="1" x14ac:dyDescent="0.4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23.25" customHeight="1" x14ac:dyDescent="0.4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23.25" customHeight="1" x14ac:dyDescent="0.4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23.25" customHeight="1" x14ac:dyDescent="0.4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23.25" customHeight="1" x14ac:dyDescent="0.4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23.25" customHeight="1" x14ac:dyDescent="0.4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23.25" customHeight="1" x14ac:dyDescent="0.4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23.25" customHeight="1" x14ac:dyDescent="0.4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23.25" customHeight="1" x14ac:dyDescent="0.4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23.25" customHeight="1" x14ac:dyDescent="0.4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23.25" customHeight="1" x14ac:dyDescent="0.4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23.25" customHeight="1" x14ac:dyDescent="0.4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23.25" customHeight="1" x14ac:dyDescent="0.4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23.25" customHeight="1" x14ac:dyDescent="0.4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23.25" customHeight="1" x14ac:dyDescent="0.4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23.25" customHeight="1" x14ac:dyDescent="0.4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23.25" customHeight="1" x14ac:dyDescent="0.4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23.25" customHeight="1" x14ac:dyDescent="0.4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23.25" customHeight="1" x14ac:dyDescent="0.4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23.25" customHeight="1" x14ac:dyDescent="0.4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23.25" customHeight="1" x14ac:dyDescent="0.4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23.25" customHeight="1" x14ac:dyDescent="0.4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23.25" customHeight="1" x14ac:dyDescent="0.4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23.25" customHeight="1" x14ac:dyDescent="0.4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23.25" customHeight="1" x14ac:dyDescent="0.4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23.25" customHeight="1" x14ac:dyDescent="0.4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23.25" customHeight="1" x14ac:dyDescent="0.4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23.25" customHeight="1" x14ac:dyDescent="0.4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23.25" customHeight="1" x14ac:dyDescent="0.4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23.25" customHeight="1" x14ac:dyDescent="0.4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23.25" customHeight="1" x14ac:dyDescent="0.4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23.25" customHeight="1" x14ac:dyDescent="0.4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23.25" customHeight="1" x14ac:dyDescent="0.4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23.25" customHeight="1" x14ac:dyDescent="0.4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23.25" customHeight="1" x14ac:dyDescent="0.4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23.25" customHeight="1" x14ac:dyDescent="0.4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23.25" customHeight="1" x14ac:dyDescent="0.4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23.25" customHeight="1" x14ac:dyDescent="0.4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23.25" customHeight="1" x14ac:dyDescent="0.4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23.25" customHeight="1" x14ac:dyDescent="0.4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23.25" customHeight="1" x14ac:dyDescent="0.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23.25" customHeight="1" x14ac:dyDescent="0.4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23.25" customHeight="1" x14ac:dyDescent="0.4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23.25" customHeight="1" x14ac:dyDescent="0.4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23.25" customHeight="1" x14ac:dyDescent="0.4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23.25" customHeight="1" x14ac:dyDescent="0.4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23.25" customHeight="1" x14ac:dyDescent="0.4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23.25" customHeight="1" x14ac:dyDescent="0.4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23.25" customHeight="1" x14ac:dyDescent="0.4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23.25" customHeight="1" x14ac:dyDescent="0.4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23.25" customHeight="1" x14ac:dyDescent="0.4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23.25" customHeight="1" x14ac:dyDescent="0.4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23.25" customHeight="1" x14ac:dyDescent="0.4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23.25" customHeight="1" x14ac:dyDescent="0.4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23.25" customHeight="1" x14ac:dyDescent="0.4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23.25" customHeight="1" x14ac:dyDescent="0.4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23.25" customHeight="1" x14ac:dyDescent="0.4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23.25" customHeight="1" x14ac:dyDescent="0.4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23.25" customHeight="1" x14ac:dyDescent="0.4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23.25" customHeight="1" x14ac:dyDescent="0.4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23.25" customHeight="1" x14ac:dyDescent="0.4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23.25" customHeight="1" x14ac:dyDescent="0.4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23.25" customHeight="1" x14ac:dyDescent="0.4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23.25" customHeight="1" x14ac:dyDescent="0.4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23.25" customHeight="1" x14ac:dyDescent="0.4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23.25" customHeight="1" x14ac:dyDescent="0.4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23.25" customHeight="1" x14ac:dyDescent="0.4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23.25" customHeight="1" x14ac:dyDescent="0.4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23.25" customHeight="1" x14ac:dyDescent="0.4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23.25" customHeight="1" x14ac:dyDescent="0.4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23.25" customHeight="1" x14ac:dyDescent="0.4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23.25" customHeight="1" x14ac:dyDescent="0.4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23.25" customHeight="1" x14ac:dyDescent="0.4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23.25" customHeight="1" x14ac:dyDescent="0.4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23.25" customHeight="1" x14ac:dyDescent="0.4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23.25" customHeight="1" x14ac:dyDescent="0.4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23.25" customHeight="1" x14ac:dyDescent="0.4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23.25" customHeight="1" x14ac:dyDescent="0.4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23.25" customHeight="1" x14ac:dyDescent="0.4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23.25" customHeight="1" x14ac:dyDescent="0.4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23.25" customHeight="1" x14ac:dyDescent="0.4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23.25" customHeight="1" x14ac:dyDescent="0.4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23.25" customHeight="1" x14ac:dyDescent="0.4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23.25" customHeight="1" x14ac:dyDescent="0.4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23.25" customHeight="1" x14ac:dyDescent="0.4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23.25" customHeight="1" x14ac:dyDescent="0.4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23.25" customHeight="1" x14ac:dyDescent="0.4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23.25" customHeight="1" x14ac:dyDescent="0.4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23.25" customHeight="1" x14ac:dyDescent="0.4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23.25" customHeight="1" x14ac:dyDescent="0.4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23.25" customHeight="1" x14ac:dyDescent="0.4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23.25" customHeight="1" x14ac:dyDescent="0.4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23.25" customHeight="1" x14ac:dyDescent="0.4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23.25" customHeight="1" x14ac:dyDescent="0.4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23.25" customHeight="1" x14ac:dyDescent="0.4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23.25" customHeight="1" x14ac:dyDescent="0.4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23.25" customHeight="1" x14ac:dyDescent="0.4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23.25" customHeight="1" x14ac:dyDescent="0.4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23.25" customHeight="1" x14ac:dyDescent="0.4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23.25" customHeight="1" x14ac:dyDescent="0.4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23.25" customHeight="1" x14ac:dyDescent="0.4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23.25" customHeight="1" x14ac:dyDescent="0.4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23.25" customHeight="1" x14ac:dyDescent="0.4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23.25" customHeight="1" x14ac:dyDescent="0.4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23.25" customHeight="1" x14ac:dyDescent="0.4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23.25" customHeight="1" x14ac:dyDescent="0.4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23.25" customHeight="1" x14ac:dyDescent="0.4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23.25" customHeight="1" x14ac:dyDescent="0.4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23.25" customHeight="1" x14ac:dyDescent="0.4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23.25" customHeight="1" x14ac:dyDescent="0.4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23.25" customHeight="1" x14ac:dyDescent="0.4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23.25" customHeight="1" x14ac:dyDescent="0.4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23.25" customHeight="1" x14ac:dyDescent="0.4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23.25" customHeight="1" x14ac:dyDescent="0.4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23.25" customHeight="1" x14ac:dyDescent="0.4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23.25" customHeight="1" x14ac:dyDescent="0.4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23.25" customHeight="1" x14ac:dyDescent="0.4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23.25" customHeight="1" x14ac:dyDescent="0.4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23.25" customHeight="1" x14ac:dyDescent="0.4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23.25" customHeight="1" x14ac:dyDescent="0.4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23.25" customHeight="1" x14ac:dyDescent="0.4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23.25" customHeight="1" x14ac:dyDescent="0.4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23.25" customHeight="1" x14ac:dyDescent="0.4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23.25" customHeight="1" x14ac:dyDescent="0.4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23.25" customHeight="1" x14ac:dyDescent="0.4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23.25" customHeight="1" x14ac:dyDescent="0.4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23.25" customHeight="1" x14ac:dyDescent="0.4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23.25" customHeight="1" x14ac:dyDescent="0.4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23.25" customHeight="1" x14ac:dyDescent="0.4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23.25" customHeight="1" x14ac:dyDescent="0.4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23.25" customHeight="1" x14ac:dyDescent="0.4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23.25" customHeight="1" x14ac:dyDescent="0.4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23.25" customHeight="1" x14ac:dyDescent="0.4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23.25" customHeight="1" x14ac:dyDescent="0.4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23.25" customHeight="1" x14ac:dyDescent="0.4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23.25" customHeight="1" x14ac:dyDescent="0.4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23.25" customHeight="1" x14ac:dyDescent="0.4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23.25" customHeight="1" x14ac:dyDescent="0.4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23.25" customHeight="1" x14ac:dyDescent="0.4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23.25" customHeight="1" x14ac:dyDescent="0.4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23.25" customHeight="1" x14ac:dyDescent="0.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23.25" customHeight="1" x14ac:dyDescent="0.4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23.25" customHeight="1" x14ac:dyDescent="0.4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23.25" customHeight="1" x14ac:dyDescent="0.4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23.25" customHeight="1" x14ac:dyDescent="0.4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23.25" customHeight="1" x14ac:dyDescent="0.4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23.25" customHeight="1" x14ac:dyDescent="0.4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23.25" customHeight="1" x14ac:dyDescent="0.4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23.25" customHeight="1" x14ac:dyDescent="0.4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23.25" customHeight="1" x14ac:dyDescent="0.4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23.25" customHeight="1" x14ac:dyDescent="0.4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23.25" customHeight="1" x14ac:dyDescent="0.4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23.25" customHeight="1" x14ac:dyDescent="0.4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23.25" customHeight="1" x14ac:dyDescent="0.4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23.25" customHeight="1" x14ac:dyDescent="0.4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23.25" customHeight="1" x14ac:dyDescent="0.4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23.25" customHeight="1" x14ac:dyDescent="0.4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23.25" customHeight="1" x14ac:dyDescent="0.4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23.25" customHeight="1" x14ac:dyDescent="0.4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23.25" customHeight="1" x14ac:dyDescent="0.4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23.25" customHeight="1" x14ac:dyDescent="0.4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23.25" customHeight="1" x14ac:dyDescent="0.4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23.25" customHeight="1" x14ac:dyDescent="0.4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23.25" customHeight="1" x14ac:dyDescent="0.4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23.25" customHeight="1" x14ac:dyDescent="0.4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23.25" customHeight="1" x14ac:dyDescent="0.4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23.25" customHeight="1" x14ac:dyDescent="0.4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23.25" customHeight="1" x14ac:dyDescent="0.4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23.25" customHeight="1" x14ac:dyDescent="0.4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23.25" customHeight="1" x14ac:dyDescent="0.4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23.25" customHeight="1" x14ac:dyDescent="0.4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23.25" customHeight="1" x14ac:dyDescent="0.4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23.25" customHeight="1" x14ac:dyDescent="0.4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23.25" customHeight="1" x14ac:dyDescent="0.4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23.25" customHeight="1" x14ac:dyDescent="0.4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23.25" customHeight="1" x14ac:dyDescent="0.4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23.25" customHeight="1" x14ac:dyDescent="0.4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23.25" customHeight="1" x14ac:dyDescent="0.4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23.25" customHeight="1" x14ac:dyDescent="0.4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23.25" customHeight="1" x14ac:dyDescent="0.4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23.25" customHeight="1" x14ac:dyDescent="0.4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23.25" customHeight="1" x14ac:dyDescent="0.4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23.25" customHeight="1" x14ac:dyDescent="0.4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23.25" customHeight="1" x14ac:dyDescent="0.4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23.25" customHeight="1" x14ac:dyDescent="0.4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23.25" customHeight="1" x14ac:dyDescent="0.4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23.25" customHeight="1" x14ac:dyDescent="0.4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23.25" customHeight="1" x14ac:dyDescent="0.4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23.25" customHeight="1" x14ac:dyDescent="0.4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23.25" customHeight="1" x14ac:dyDescent="0.4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23.25" customHeight="1" x14ac:dyDescent="0.4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23.25" customHeight="1" x14ac:dyDescent="0.4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23.25" customHeight="1" x14ac:dyDescent="0.4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23.25" customHeight="1" x14ac:dyDescent="0.4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23.25" customHeight="1" x14ac:dyDescent="0.4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23.25" customHeight="1" x14ac:dyDescent="0.4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Data_validations</vt:lpstr>
      <vt:lpstr>P1</vt:lpstr>
      <vt:lpstr>P2</vt:lpstr>
      <vt:lpstr>Sheet6</vt:lpstr>
      <vt:lpstr>Sheet7</vt:lpstr>
      <vt:lpstr>Charts</vt:lpstr>
      <vt:lpstr>Sheet2</vt:lpstr>
      <vt:lpstr>Sheet3</vt:lpstr>
      <vt:lpstr>Forecast</vt:lpstr>
      <vt:lpstr>Goal-Seek</vt:lpstr>
      <vt:lpstr>Scenario Summary</vt:lpstr>
      <vt:lpstr>Scenario Summary 2</vt:lpstr>
      <vt:lpstr>Secnario-man.</vt:lpstr>
      <vt:lpstr>Data-table (Optional)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Mithilesh Yadav</dc:creator>
  <cp:lastModifiedBy>Harsha Gudekar</cp:lastModifiedBy>
  <dcterms:created xsi:type="dcterms:W3CDTF">2024-03-07T09:43:50Z</dcterms:created>
  <dcterms:modified xsi:type="dcterms:W3CDTF">2025-08-11T14:43:50Z</dcterms:modified>
</cp:coreProperties>
</file>